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AY_Agunt\CHOCHO\업체정보\"/>
    </mc:Choice>
  </mc:AlternateContent>
  <bookViews>
    <workbookView xWindow="0" yWindow="0" windowWidth="14790" windowHeight="11550"/>
  </bookViews>
  <sheets>
    <sheet name="업체정보" sheetId="1" r:id="rId1"/>
    <sheet name="작성안내" sheetId="2" r:id="rId2"/>
  </sheets>
  <calcPr calcId="162913"/>
</workbook>
</file>

<file path=xl/calcChain.xml><?xml version="1.0" encoding="utf-8"?>
<calcChain xmlns="http://schemas.openxmlformats.org/spreadsheetml/2006/main">
  <c r="Q101" i="1" l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<sst xmlns="http://schemas.openxmlformats.org/spreadsheetml/2006/main" count="318" uniqueCount="306">
  <si>
    <t>상호명</t>
  </si>
  <si>
    <t>주소</t>
  </si>
  <si>
    <t>업체연락처</t>
  </si>
  <si>
    <t>운동장카페</t>
  </si>
  <si>
    <t>동반 카페</t>
  </si>
  <si>
    <t>대형견카페</t>
  </si>
  <si>
    <t>동반 음식점</t>
  </si>
  <si>
    <t>동반 술집</t>
  </si>
  <si>
    <t>동반 펜션</t>
  </si>
  <si>
    <t>주차가능</t>
  </si>
  <si>
    <t>실내 동반</t>
  </si>
  <si>
    <t>테라스 동반</t>
  </si>
  <si>
    <t>동반 조건 및 메모</t>
  </si>
  <si>
    <t>펫타리움 청담점</t>
  </si>
  <si>
    <t>0507-1403-1704</t>
  </si>
  <si>
    <t>니멍내멍</t>
  </si>
  <si>
    <t>0507-1345-7457</t>
  </si>
  <si>
    <t>구디가든카페</t>
  </si>
  <si>
    <t>0507-1443-1132</t>
  </si>
  <si>
    <t>0507-1308-7428</t>
  </si>
  <si>
    <t>울미숲</t>
  </si>
  <si>
    <t>031-536-9077</t>
  </si>
  <si>
    <t>어반밸리</t>
  </si>
  <si>
    <t>0507-1468-1261</t>
  </si>
  <si>
    <t>테일즈업</t>
  </si>
  <si>
    <t>0507-1420-2232</t>
  </si>
  <si>
    <t>업체정보 입력 양식 · 작성 안내</t>
  </si>
  <si>
    <t>입력 방법</t>
  </si>
  <si>
    <t>「업체정보」 시트 2행부터 업체 한 곳당 한 줄씩 입력하세요. 빈 입력란 100개를 준비했습니다.</t>
  </si>
  <si>
    <t>파일 관리</t>
  </si>
  <si>
    <t>이 파일을 복사해 업체정보_2026-10-16.xlsx처럼 저장하세요. 같은 업체 수정 시 기존 행을 수정하고, 중복 행을 만들지 마세요.</t>
  </si>
  <si>
    <t>기본 필수 항목</t>
  </si>
  <si>
    <t>카테고리 선택</t>
  </si>
  <si>
    <t>반려견이 이용할 수 있는 운동장을 갖춘 카페. 동반 카페에도 해당하면 두 열 모두 「예」를 선택하세요.</t>
  </si>
  <si>
    <t>반려견과 함께 방문할 수 있다고 확인한 카페.</t>
  </si>
  <si>
    <t>대형견 이용이 가능하다고 확인한 카페. 운동장카페 또는 동반 카페와 함께 선택할 수 있습니다.</t>
  </si>
  <si>
    <t>반려견 동반이 가능하다고 확인한 음식점.</t>
  </si>
  <si>
    <t>반려견 동반이 가능하다고 확인한 술집.</t>
  </si>
  <si>
    <t>반려견 동반이 가능하다고 확인한 펜션.</t>
  </si>
  <si>
    <t>조건 필터</t>
  </si>
  <si>
    <t>모르는 정보</t>
  </si>
  <si>
    <t>조건을 확인하지 못했으면 「미확인」 또는 빈칸으로 두세요. 「불가」와 구분해 주세요. 연락처·영업시간도 추측하지 마세요.</t>
  </si>
  <si>
    <t>주소 작성</t>
  </si>
  <si>
    <t>도로명주소 + 건물번호를 입력하고 필요하면 층·호수를 덧붙이세요. 업체 이름만 입력하면 지도에서 위치를 정확하게 찾기 어렵습니다.</t>
  </si>
  <si>
    <t>연락처 작성</t>
  </si>
  <si>
    <t>예: 02-1234-5678 또는 010-1234-5678. 연락처 열은 앞자리 0이 유지되도록 텍스트 형식으로 준비했습니다.</t>
  </si>
  <si>
    <t>영업시간 작성</t>
  </si>
  <si>
    <t>예: 월~금 10:00~20:00 / 토·일 10:00~21:00 / 화요일 휴무 / 브레이크타임 15:00~17:00. 펜션은 입실·퇴실시간을 적어도 됩니다.</t>
  </si>
  <si>
    <t>선택 항목. 예: 15kg 이하 / 대형견 가능 / 리드줄 필수 / 실내 이동가방 필수 / 동반 객실 사전예약 / 추가요금.</t>
  </si>
  <si>
    <t>확인 근거</t>
  </si>
  <si>
    <t>선택 항목. 업체 공식 홈페이지·공식 SNS 주소 또는 「업체 전화 확인」처럼 직접 확인한 방법을 적으세요.</t>
  </si>
  <si>
    <t>확인일</t>
  </si>
  <si>
    <t>선택 항목. 실제 확인한 날짜를 2026-10-16 형식으로 입력하세요.</t>
  </si>
  <si>
    <t>저장한 곳 필터</t>
  </si>
  <si>
    <t>사용자가 직접 저장하는 기능이므로 업체정보에 입력하는 항목이 아닙니다.</t>
  </si>
  <si>
    <t>열 제목 유지</t>
  </si>
  <si>
    <t>자동으로 읽을 수 있도록 업체정보 시트의 열 제목을 바꾸거나 셀을 합치지 마세요. 한 행에 업체 한 곳만 입력하세요.</t>
  </si>
  <si>
    <t>사이트 반영</t>
  </si>
  <si>
    <t>현재는 폴더에 파일을 넣는 것만으로 사이트에 자동 반영되지 않습니다. 엑셀 읽기·데이터 변환·배포 연결을 별도로 구현해야 합니다.</t>
  </si>
  <si>
    <t>양식 범위</t>
  </si>
  <si>
    <t>이 파일은 입력 양식입니다. 실제 업체 데이터는 포함하지 않았습니다. 동반 펜션의 사이트 카테고리 연결도 추후 구현이 필요합니다.</t>
  </si>
  <si>
    <t>지역</t>
  </si>
  <si>
    <t>주소의 시·도 표기</t>
  </si>
  <si>
    <t>서울특별시</t>
  </si>
  <si>
    <t>서울</t>
  </si>
  <si>
    <t>상호명, 주소, 해당 카테고리 1개 이상을 입력하세요. 연락처는 확인된 경우 입력하세요.</t>
  </si>
  <si>
    <t>부산광역시</t>
  </si>
  <si>
    <t>부산</t>
  </si>
  <si>
    <t>D~I열: 해당하면 1, 아니면 0 입력 후 Tab. 화면에는 예/아니오로 표시됩니다. 여러 카테고리에 1을 입력할 수 있습니다.</t>
  </si>
  <si>
    <t>대구광역시</t>
  </si>
  <si>
    <t>대구</t>
  </si>
  <si>
    <t>인천광역시</t>
  </si>
  <si>
    <t>인천</t>
  </si>
  <si>
    <t>광주광역시</t>
  </si>
  <si>
    <t>광주</t>
  </si>
  <si>
    <t>대전광역시</t>
  </si>
  <si>
    <t>대전</t>
  </si>
  <si>
    <t>울산광역시</t>
  </si>
  <si>
    <t>울산</t>
  </si>
  <si>
    <t>세종특별자치시</t>
  </si>
  <si>
    <t>세종</t>
  </si>
  <si>
    <t>경기도</t>
  </si>
  <si>
    <t>경기</t>
  </si>
  <si>
    <t>J~L열: 주차가능 / 실내 동반 / 테라스 동반. 가능하면 1, 불가하면 0 입력 후 Tab. 미확인은 빈칸 또는 미확인으로 입력하세요.</t>
  </si>
  <si>
    <t>강원도</t>
  </si>
  <si>
    <t>강원</t>
  </si>
  <si>
    <t>강원특별자치도</t>
  </si>
  <si>
    <t>충청북도</t>
  </si>
  <si>
    <t>충북</t>
  </si>
  <si>
    <t>충청남도</t>
  </si>
  <si>
    <t>충남</t>
  </si>
  <si>
    <t>전라북도</t>
  </si>
  <si>
    <t>전북</t>
  </si>
  <si>
    <t>전북특별자치도</t>
  </si>
  <si>
    <t>전라남도</t>
  </si>
  <si>
    <t>전남</t>
  </si>
  <si>
    <t>경상북도</t>
  </si>
  <si>
    <t>경북</t>
  </si>
  <si>
    <t>경상남도</t>
  </si>
  <si>
    <t>경남</t>
  </si>
  <si>
    <t>제주특별자치도</t>
  </si>
  <si>
    <t>제주</t>
  </si>
  <si>
    <t>제주도</t>
  </si>
  <si>
    <t>빠른 입력</t>
  </si>
  <si>
    <t>1 = 예·가능 / 0 = 아니오·불가. Tab은 다음 칸, Shift+Tab은 이전 칸입니다. 빈칸은 미입력입니다.</t>
  </si>
  <si>
    <t>지역 검색</t>
  </si>
  <si>
    <t>업체정보 시트 N열 지역의 필터에서 서울·대전·대구·부산 등을 선택하세요. 주소를 입력하면 지역이 자동으로 표시됩니다.</t>
  </si>
  <si>
    <t>상호명·주소 검색</t>
  </si>
  <si>
    <t>각 제목 오른쪽 필터에서 검색하거나 텍스트 필터 → 포함을 사용하세요. 필터 지우기로 전체 목록을 다시 표시합니다.</t>
  </si>
  <si>
    <t>카페스토리</t>
    <phoneticPr fontId="5" type="noConversion"/>
  </si>
  <si>
    <t>0507-1367-5004</t>
    <phoneticPr fontId="5" type="noConversion"/>
  </si>
  <si>
    <t>레오나르독</t>
    <phoneticPr fontId="5" type="noConversion"/>
  </si>
  <si>
    <t>0507-1444-8578</t>
    <phoneticPr fontId="5" type="noConversion"/>
  </si>
  <si>
    <t>010-3757-2805</t>
    <phoneticPr fontId="5" type="noConversion"/>
  </si>
  <si>
    <t>0507-1436-2394</t>
    <phoneticPr fontId="5" type="noConversion"/>
  </si>
  <si>
    <t>0507-1308-4884</t>
    <phoneticPr fontId="5" type="noConversion"/>
  </si>
  <si>
    <t>0507-1468-7083</t>
    <phoneticPr fontId="5" type="noConversion"/>
  </si>
  <si>
    <t>루카</t>
    <phoneticPr fontId="5" type="noConversion"/>
  </si>
  <si>
    <t>서울 강남구 영동대로 725 6층</t>
  </si>
  <si>
    <t>실내 케이지 필수</t>
  </si>
  <si>
    <t>그리네 오아시스</t>
  </si>
  <si>
    <t>경기 의정부시 둔배미북길 14</t>
  </si>
  <si>
    <t>경기 남양주시 와부읍 팔당로81번길 74-65</t>
  </si>
  <si>
    <t>카페 리버나인</t>
    <phoneticPr fontId="5" type="noConversion"/>
  </si>
  <si>
    <t>코니아일랜드 애견카페</t>
    <phoneticPr fontId="5" type="noConversion"/>
  </si>
  <si>
    <t>그루비독 애견카페</t>
    <phoneticPr fontId="5" type="noConversion"/>
  </si>
  <si>
    <t>경기 포천시 내촌면 매봉길 64-1 다동 1층</t>
    <phoneticPr fontId="5" type="noConversion"/>
  </si>
  <si>
    <t>경기 포천시 소흘읍 죽엽산로 442 1층</t>
    <phoneticPr fontId="5" type="noConversion"/>
  </si>
  <si>
    <t>경기 포천시 군내면 꽃배산2길 107</t>
    <phoneticPr fontId="5" type="noConversion"/>
  </si>
  <si>
    <t>경기 남양주시 불암산로 172</t>
    <phoneticPr fontId="5" type="noConversion"/>
  </si>
  <si>
    <t>경기 양주시 은현면 은현로46번길 26</t>
    <phoneticPr fontId="5" type="noConversion"/>
  </si>
  <si>
    <t>경기 남양주시 화도읍 북한강로 1630-18 1층</t>
    <phoneticPr fontId="5" type="noConversion"/>
  </si>
  <si>
    <t>경기 남양주시 화도읍 북한강로 1627</t>
    <phoneticPr fontId="5" type="noConversion"/>
  </si>
  <si>
    <t>경기 포천시 내촌면 소리개길 86-22</t>
    <phoneticPr fontId="5" type="noConversion"/>
  </si>
  <si>
    <t>경기 남양주시 진접읍 해밀예당2로 230 1층</t>
    <phoneticPr fontId="5" type="noConversion"/>
  </si>
  <si>
    <t>경기 의정부시 호국로 952 1층</t>
    <phoneticPr fontId="5" type="noConversion"/>
  </si>
  <si>
    <t>경기 의정부시 오목로15번길 2 1층</t>
    <phoneticPr fontId="5" type="noConversion"/>
  </si>
  <si>
    <t>커멍하우스</t>
    <phoneticPr fontId="5" type="noConversion"/>
  </si>
  <si>
    <t>0507-1354-6858</t>
    <phoneticPr fontId="5" type="noConversion"/>
  </si>
  <si>
    <t>경기 의정부시 부용로185번길 53 1층</t>
    <phoneticPr fontId="5" type="noConversion"/>
  </si>
  <si>
    <t>함께라서</t>
    <phoneticPr fontId="5" type="noConversion"/>
  </si>
  <si>
    <t>0507-1385-1323</t>
    <phoneticPr fontId="5" type="noConversion"/>
  </si>
  <si>
    <t>뉴욕도그랜드</t>
    <phoneticPr fontId="5" type="noConversion"/>
  </si>
  <si>
    <t>경기 의정부시 오목로225번길 105 3층 306호</t>
    <phoneticPr fontId="5" type="noConversion"/>
  </si>
  <si>
    <t>010-2731-9182</t>
    <phoneticPr fontId="5" type="noConversion"/>
  </si>
  <si>
    <t>경기 의정부시 고산로81번길 61 1층</t>
    <phoneticPr fontId="5" type="noConversion"/>
  </si>
  <si>
    <t>두멍두리멍쉴 두멍스쿨</t>
    <phoneticPr fontId="5" type="noConversion"/>
  </si>
  <si>
    <t>0507-1312-2209</t>
    <phoneticPr fontId="5" type="noConversion"/>
  </si>
  <si>
    <t>경기 남양주시 별내면 용암비루개길 204</t>
    <phoneticPr fontId="5" type="noConversion"/>
  </si>
  <si>
    <t>몽글브라운</t>
    <phoneticPr fontId="5" type="noConversion"/>
  </si>
  <si>
    <t>0507-1342-8807</t>
    <phoneticPr fontId="5" type="noConversion"/>
  </si>
  <si>
    <t>경기 양주시 부흥로1907번길 50 1, 2F</t>
    <phoneticPr fontId="5" type="noConversion"/>
  </si>
  <si>
    <t>멍떼루와</t>
    <phoneticPr fontId="5" type="noConversion"/>
  </si>
  <si>
    <t>0507-1371-5821</t>
    <phoneticPr fontId="5" type="noConversion"/>
  </si>
  <si>
    <t>호텔링</t>
    <phoneticPr fontId="5" type="noConversion"/>
  </si>
  <si>
    <t>유치원</t>
    <phoneticPr fontId="5" type="noConversion"/>
  </si>
  <si>
    <t>경기 남양주시 별내면 송산로 519-7 1층</t>
    <phoneticPr fontId="5" type="noConversion"/>
  </si>
  <si>
    <t>리블링코코</t>
    <phoneticPr fontId="5" type="noConversion"/>
  </si>
  <si>
    <t>0507-1301-2053</t>
    <phoneticPr fontId="5" type="noConversion"/>
  </si>
  <si>
    <t>서울 강남구 영동대로138길 9 신한양상가 102호</t>
    <phoneticPr fontId="5" type="noConversion"/>
  </si>
  <si>
    <t>브리커피 청담</t>
    <phoneticPr fontId="5" type="noConversion"/>
  </si>
  <si>
    <t>0507-1465-6577</t>
    <phoneticPr fontId="5" type="noConversion"/>
  </si>
  <si>
    <t>서울 강동구 양재대로89가길 30 3층</t>
    <phoneticPr fontId="5" type="noConversion"/>
  </si>
  <si>
    <t>포포앤미루</t>
    <phoneticPr fontId="5" type="noConversion"/>
  </si>
  <si>
    <t>0507-1403-8827</t>
    <phoneticPr fontId="5" type="noConversion"/>
  </si>
  <si>
    <t>서울 송파구 동남로29길 8-10 205호</t>
    <phoneticPr fontId="5" type="noConversion"/>
  </si>
  <si>
    <t>카페 루</t>
    <phoneticPr fontId="5" type="noConversion"/>
  </si>
  <si>
    <t>0507-1449-5589</t>
    <phoneticPr fontId="5" type="noConversion"/>
  </si>
  <si>
    <t>경기 하남시 서하남로 23</t>
    <phoneticPr fontId="5" type="noConversion"/>
  </si>
  <si>
    <t>펖파크</t>
    <phoneticPr fontId="5" type="noConversion"/>
  </si>
  <si>
    <t>02-6012-5454</t>
    <phoneticPr fontId="5" type="noConversion"/>
  </si>
  <si>
    <t>경기 구리시 안골로 4 2층</t>
    <phoneticPr fontId="5" type="noConversion"/>
  </si>
  <si>
    <t>지금여기서행복하개</t>
    <phoneticPr fontId="5" type="noConversion"/>
  </si>
  <si>
    <t>010-2015-9709</t>
    <phoneticPr fontId="5" type="noConversion"/>
  </si>
  <si>
    <t>서울 중랑구 용마산로 529 4층</t>
    <phoneticPr fontId="5" type="noConversion"/>
  </si>
  <si>
    <t>다시사랑받개</t>
    <phoneticPr fontId="5" type="noConversion"/>
  </si>
  <si>
    <t>0507-1305-6225</t>
    <phoneticPr fontId="5" type="noConversion"/>
  </si>
  <si>
    <t>애견미용</t>
    <phoneticPr fontId="5" type="noConversion"/>
  </si>
  <si>
    <t>어썸브레드도그맥스점</t>
    <phoneticPr fontId="5" type="noConversion"/>
  </si>
  <si>
    <t>경기 남양주시 와부읍 석실로율석길 108-13</t>
    <phoneticPr fontId="5" type="noConversion"/>
  </si>
  <si>
    <t>0507-1322-5311</t>
    <phoneticPr fontId="5" type="noConversion"/>
  </si>
  <si>
    <t>경기 하남시 미사강변중앙로 173 307호 308-1호</t>
    <phoneticPr fontId="5" type="noConversion"/>
  </si>
  <si>
    <t>안녕강아지</t>
    <phoneticPr fontId="5" type="noConversion"/>
  </si>
  <si>
    <t>0507-1364-6534</t>
    <phoneticPr fontId="5" type="noConversion"/>
  </si>
  <si>
    <t>경기 성남시 수정구 위례광장로 328 우성위례타워 1층</t>
    <phoneticPr fontId="5" type="noConversion"/>
  </si>
  <si>
    <t>아지트댕댕 위례</t>
    <phoneticPr fontId="5" type="noConversion"/>
  </si>
  <si>
    <t>010-2492-0328</t>
    <phoneticPr fontId="5" type="noConversion"/>
  </si>
  <si>
    <t>경기 성남시 수정구 복정로 63-1 4층</t>
    <phoneticPr fontId="5" type="noConversion"/>
  </si>
  <si>
    <t>ban dog café</t>
    <phoneticPr fontId="5" type="noConversion"/>
  </si>
  <si>
    <t>031-755-0702</t>
    <phoneticPr fontId="5" type="noConversion"/>
  </si>
  <si>
    <t xml:space="preserve">서울 동작구 상도로 217-4 한울빌딩 지하1층 </t>
    <phoneticPr fontId="5" type="noConversion"/>
  </si>
  <si>
    <t>애견카페 두젠틀</t>
    <phoneticPr fontId="5" type="noConversion"/>
  </si>
  <si>
    <t>02-6014-2120</t>
    <phoneticPr fontId="5" type="noConversion"/>
  </si>
  <si>
    <t>서울 동작구 동작대로29길 53 3,4층</t>
    <phoneticPr fontId="5" type="noConversion"/>
  </si>
  <si>
    <t>주니네 놀이터</t>
    <phoneticPr fontId="5" type="noConversion"/>
  </si>
  <si>
    <t>02-6332-8811</t>
    <phoneticPr fontId="5" type="noConversion"/>
  </si>
  <si>
    <t>서울 서초구 방배중앙로 157 대흥빌딩 A동 2층</t>
    <phoneticPr fontId="5" type="noConversion"/>
  </si>
  <si>
    <t>동건S애견카페</t>
    <phoneticPr fontId="5" type="noConversion"/>
  </si>
  <si>
    <t>02-533-8146</t>
    <phoneticPr fontId="5" type="noConversion"/>
  </si>
  <si>
    <t>서울 서초구 반포대로 38 와라빌딩 지하1층</t>
    <phoneticPr fontId="5" type="noConversion"/>
  </si>
  <si>
    <t>꽃길걷개</t>
    <phoneticPr fontId="5" type="noConversion"/>
  </si>
  <si>
    <t>010-2628-9702</t>
    <phoneticPr fontId="5" type="noConversion"/>
  </si>
  <si>
    <t>서울 송파구 삼전로 53 뜨레피움 지하1층</t>
    <phoneticPr fontId="5" type="noConversion"/>
  </si>
  <si>
    <t>킨더독</t>
    <phoneticPr fontId="5" type="noConversion"/>
  </si>
  <si>
    <t>02-6959-5979</t>
    <phoneticPr fontId="5" type="noConversion"/>
  </si>
  <si>
    <t>서울 송파구 석촌호수로 272 지하1층</t>
    <phoneticPr fontId="5" type="noConversion"/>
  </si>
  <si>
    <t>푸치네</t>
    <phoneticPr fontId="5" type="noConversion"/>
  </si>
  <si>
    <t>010-3443-0056</t>
    <phoneticPr fontId="5" type="noConversion"/>
  </si>
  <si>
    <t xml:space="preserve">서울 강남구 강남대로62길 23 역삼빌딩 1층 </t>
    <phoneticPr fontId="5" type="noConversion"/>
  </si>
  <si>
    <t>다슬음</t>
    <phoneticPr fontId="5" type="noConversion"/>
  </si>
  <si>
    <t>0507-1484-3401</t>
    <phoneticPr fontId="5" type="noConversion"/>
  </si>
  <si>
    <t>서울 마포구 와우산로17길 19-17 1층</t>
    <phoneticPr fontId="5" type="noConversion"/>
  </si>
  <si>
    <t>맷집</t>
    <phoneticPr fontId="5" type="noConversion"/>
  </si>
  <si>
    <t>0507-1384-7968</t>
    <phoneticPr fontId="5" type="noConversion"/>
  </si>
  <si>
    <t>서울 송파구 오금로11길 37 109호</t>
    <phoneticPr fontId="5" type="noConversion"/>
  </si>
  <si>
    <t>호락호락</t>
    <phoneticPr fontId="5" type="noConversion"/>
  </si>
  <si>
    <t>0507-1341-2682</t>
    <phoneticPr fontId="5" type="noConversion"/>
  </si>
  <si>
    <t>서울 강서구 강서로5나길 16 1층</t>
    <phoneticPr fontId="5" type="noConversion"/>
  </si>
  <si>
    <t>0507-1325-2538</t>
    <phoneticPr fontId="5" type="noConversion"/>
  </si>
  <si>
    <t>까치집</t>
    <phoneticPr fontId="5" type="noConversion"/>
  </si>
  <si>
    <t>경기 남양주시 진접읍 해밀예당3로 7 2층</t>
    <phoneticPr fontId="5" type="noConversion"/>
  </si>
  <si>
    <t>술로맨스</t>
    <phoneticPr fontId="5" type="noConversion"/>
  </si>
  <si>
    <t>0507-1329-7286</t>
    <phoneticPr fontId="5" type="noConversion"/>
  </si>
  <si>
    <t>서울 영등포구 도림로 445 102호</t>
    <phoneticPr fontId="5" type="noConversion"/>
  </si>
  <si>
    <t>문래가온</t>
    <phoneticPr fontId="5" type="noConversion"/>
  </si>
  <si>
    <t>0507-1336-1858</t>
    <phoneticPr fontId="5" type="noConversion"/>
  </si>
  <si>
    <t>경기 안양시 만안구 장내로 101 지상1층</t>
    <phoneticPr fontId="5" type="noConversion"/>
  </si>
  <si>
    <t>야간매점</t>
    <phoneticPr fontId="5" type="noConversion"/>
  </si>
  <si>
    <t>010-6293-3439</t>
    <phoneticPr fontId="5" type="noConversion"/>
  </si>
  <si>
    <t>서울 강남구 학동로 342 SK허브블루상가 1층</t>
    <phoneticPr fontId="5" type="noConversion"/>
  </si>
  <si>
    <t>중앙실비</t>
    <phoneticPr fontId="5" type="noConversion"/>
  </si>
  <si>
    <t>0507-1391-0320</t>
    <phoneticPr fontId="5" type="noConversion"/>
  </si>
  <si>
    <t xml:space="preserve">서울 강남구 도산대로45길 10-2 1층 </t>
    <phoneticPr fontId="5" type="noConversion"/>
  </si>
  <si>
    <t>트키</t>
    <phoneticPr fontId="5" type="noConversion"/>
  </si>
  <si>
    <t>0507-1370-2654</t>
    <phoneticPr fontId="5" type="noConversion"/>
  </si>
  <si>
    <t>서울 강남구 학동로53길 19 1층</t>
    <phoneticPr fontId="5" type="noConversion"/>
  </si>
  <si>
    <t>타카이</t>
    <phoneticPr fontId="5" type="noConversion"/>
  </si>
  <si>
    <t>0507-1455-0321</t>
    <phoneticPr fontId="5" type="noConversion"/>
  </si>
  <si>
    <t>서울 강남구 도산대로49길 6-7 1층</t>
    <phoneticPr fontId="5" type="noConversion"/>
  </si>
  <si>
    <t>더코너하우스</t>
    <phoneticPr fontId="5" type="noConversion"/>
  </si>
  <si>
    <t>0507-1394-5990</t>
    <phoneticPr fontId="5" type="noConversion"/>
  </si>
  <si>
    <t>테라스석 동반 가능</t>
    <phoneticPr fontId="5" type="noConversion"/>
  </si>
  <si>
    <t>오제 오징어제육</t>
    <phoneticPr fontId="5" type="noConversion"/>
  </si>
  <si>
    <t>서울 강남구 도산대로27길 40 1층</t>
    <phoneticPr fontId="5" type="noConversion"/>
  </si>
  <si>
    <t>0507-1404-3971</t>
    <phoneticPr fontId="5" type="noConversion"/>
  </si>
  <si>
    <t>서울 강남구 논현로139길 12</t>
    <phoneticPr fontId="5" type="noConversion"/>
  </si>
  <si>
    <t>모스가든</t>
    <phoneticPr fontId="5" type="noConversion"/>
  </si>
  <si>
    <t>0507-1489-1988</t>
    <phoneticPr fontId="5" type="noConversion"/>
  </si>
  <si>
    <t>룸 동반 가능</t>
    <phoneticPr fontId="5" type="noConversion"/>
  </si>
  <si>
    <t>서울 강남구 학동로 343 B1층 구월의소철</t>
    <phoneticPr fontId="5" type="noConversion"/>
  </si>
  <si>
    <t>0507-1417-3212</t>
    <phoneticPr fontId="5" type="noConversion"/>
  </si>
  <si>
    <t>구월의 소철</t>
    <phoneticPr fontId="5" type="noConversion"/>
  </si>
  <si>
    <t xml:space="preserve">서울 강남구 학동로21길 6 </t>
    <phoneticPr fontId="5" type="noConversion"/>
  </si>
  <si>
    <t>파퓰러커피</t>
    <phoneticPr fontId="5" type="noConversion"/>
  </si>
  <si>
    <t>0507-1342-5064</t>
    <phoneticPr fontId="5" type="noConversion"/>
  </si>
  <si>
    <t>서울 동대문구 장한로6길 53 102호</t>
    <phoneticPr fontId="5" type="noConversion"/>
  </si>
  <si>
    <t>동대문대하구이사계절집</t>
    <phoneticPr fontId="5" type="noConversion"/>
  </si>
  <si>
    <t>0507-1370-4530</t>
    <phoneticPr fontId="5" type="noConversion"/>
  </si>
  <si>
    <t>서울 중구 다산로46길 36 2층, 3층, 4층</t>
    <phoneticPr fontId="5" type="noConversion"/>
  </si>
  <si>
    <t>신당육</t>
    <phoneticPr fontId="5" type="noConversion"/>
  </si>
  <si>
    <t>02-6953-8816</t>
    <phoneticPr fontId="5" type="noConversion"/>
  </si>
  <si>
    <t>소형견 가능</t>
    <phoneticPr fontId="5" type="noConversion"/>
  </si>
  <si>
    <t>소형견 가능 리드줄 필수</t>
    <phoneticPr fontId="5" type="noConversion"/>
  </si>
  <si>
    <t xml:space="preserve">서울 중구 퇴계로 409-11 1층 </t>
    <phoneticPr fontId="5" type="noConversion"/>
  </si>
  <si>
    <t>심세정</t>
    <phoneticPr fontId="5" type="noConversion"/>
  </si>
  <si>
    <t>0507-1444-7579</t>
    <phoneticPr fontId="5" type="noConversion"/>
  </si>
  <si>
    <t>별관, 테라스 가능</t>
    <phoneticPr fontId="5" type="noConversion"/>
  </si>
  <si>
    <t>서울 광진구 능동로 264 한사랑빌딩 1층</t>
    <phoneticPr fontId="5" type="noConversion"/>
  </si>
  <si>
    <t>서울돼지구이</t>
    <phoneticPr fontId="5" type="noConversion"/>
  </si>
  <si>
    <t>0507-1336-1116</t>
    <phoneticPr fontId="5" type="noConversion"/>
  </si>
  <si>
    <t xml:space="preserve">서울 중구 청계천로 360 나동 104호 </t>
    <phoneticPr fontId="5" type="noConversion"/>
  </si>
  <si>
    <t>Wnch동묘(운치)</t>
    <phoneticPr fontId="5" type="noConversion"/>
  </si>
  <si>
    <t>0507-1330-8166</t>
    <phoneticPr fontId="5" type="noConversion"/>
  </si>
  <si>
    <t>유모차, 케이지 필수</t>
    <phoneticPr fontId="5" type="noConversion"/>
  </si>
  <si>
    <t>케이지 필수</t>
    <phoneticPr fontId="5" type="noConversion"/>
  </si>
  <si>
    <t>전시회</t>
    <phoneticPr fontId="5" type="noConversion"/>
  </si>
  <si>
    <t>서울 동대문구 왕산로 131 2층</t>
    <phoneticPr fontId="5" type="noConversion"/>
  </si>
  <si>
    <t>0507-1394-8570</t>
    <phoneticPr fontId="5" type="noConversion"/>
  </si>
  <si>
    <t>소형견, 테라스 가능</t>
    <phoneticPr fontId="5" type="noConversion"/>
  </si>
  <si>
    <t>서울 중구 다산로 232 1층</t>
    <phoneticPr fontId="5" type="noConversion"/>
  </si>
  <si>
    <t>오신돼지갈비</t>
    <phoneticPr fontId="5" type="noConversion"/>
  </si>
  <si>
    <t>0507-1357-9288</t>
    <phoneticPr fontId="5" type="noConversion"/>
  </si>
  <si>
    <t>유모차, 케이지 필수</t>
    <phoneticPr fontId="5" type="noConversion"/>
  </si>
  <si>
    <t>서울 성북구 동소문로22길 64 1층</t>
    <phoneticPr fontId="5" type="noConversion"/>
  </si>
  <si>
    <t>금뚜껑</t>
    <phoneticPr fontId="5" type="noConversion"/>
  </si>
  <si>
    <t>0507-1361-0997</t>
    <phoneticPr fontId="5" type="noConversion"/>
  </si>
  <si>
    <t>테라스 가능</t>
    <phoneticPr fontId="5" type="noConversion"/>
  </si>
  <si>
    <t xml:space="preserve">서울 중랑구 봉우재로43길 12 1층 </t>
    <phoneticPr fontId="5" type="noConversion"/>
  </si>
  <si>
    <t>피자빌리지</t>
    <phoneticPr fontId="5" type="noConversion"/>
  </si>
  <si>
    <t>0507-1448-1263</t>
    <phoneticPr fontId="5" type="noConversion"/>
  </si>
  <si>
    <t>서울 성북구 동소문로22길 57-16 1층</t>
    <phoneticPr fontId="5" type="noConversion"/>
  </si>
  <si>
    <t>메종 드 잠봉</t>
    <phoneticPr fontId="5" type="noConversion"/>
  </si>
  <si>
    <t>0507-1403-0031</t>
    <phoneticPr fontId="5" type="noConversion"/>
  </si>
  <si>
    <t>서울 성북구 고려대로7길 48 1층</t>
    <phoneticPr fontId="5" type="noConversion"/>
  </si>
  <si>
    <t>운치</t>
    <phoneticPr fontId="5" type="noConversion"/>
  </si>
  <si>
    <t>0507-1475-4644</t>
    <phoneticPr fontId="5" type="noConversion"/>
  </si>
  <si>
    <t>서울 중구 퇴계로81길 10 1층</t>
    <phoneticPr fontId="5" type="noConversion"/>
  </si>
  <si>
    <t>누리담</t>
    <phoneticPr fontId="5" type="noConversion"/>
  </si>
  <si>
    <t>0507-1386-3922</t>
    <phoneticPr fontId="5" type="noConversion"/>
  </si>
  <si>
    <t>유모차, 케이지 필수</t>
    <phoneticPr fontId="5" type="noConversion"/>
  </si>
  <si>
    <t>서울 중구 퇴계로 461 1층 101호</t>
    <phoneticPr fontId="5" type="noConversion"/>
  </si>
  <si>
    <t>보메청담</t>
    <phoneticPr fontId="5" type="noConversion"/>
  </si>
  <si>
    <t>02-2233-0937</t>
    <phoneticPr fontId="5" type="noConversion"/>
  </si>
  <si>
    <t>서울 성북구 고려대로1길 69 1층</t>
    <phoneticPr fontId="5" type="noConversion"/>
  </si>
  <si>
    <t>펫터니아 하우스</t>
    <phoneticPr fontId="5" type="noConversion"/>
  </si>
  <si>
    <t>0507-1334-2014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</si>
</sst>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=1]&quot;예&quot;;[=0]&quot;아니오&quot;;General"/>
    <numFmt numFmtId="177" formatCode="[=1]&quot;가능&quot;;[=0]&quot;불가&quot;;General"/>
  </numFmts>
  <fonts count="9">
    <font>
      <sz val="11"/>
      <name val="Carlito"/>
    </font>
    <font>
      <sz val="11"/>
      <color rgb="FF153047"/>
      <name val="Arial"/>
      <family val="2"/>
    </font>
    <font>
      <b/>
      <sz val="18"/>
      <color rgb="FFFFFFFF"/>
      <name val="Arial"/>
      <family val="2"/>
    </font>
    <font>
      <b/>
      <sz val="11"/>
      <color rgb="FF16324F"/>
      <name val="Arial"/>
      <family val="2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153047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0F766E"/>
      </patternFill>
    </fill>
    <fill>
      <patternFill patternType="solid">
        <fgColor rgb="FF7C3AED"/>
      </patternFill>
    </fill>
    <fill>
      <patternFill patternType="solid">
        <fgColor rgb="FF475569"/>
      </patternFill>
    </fill>
    <fill>
      <patternFill patternType="solid">
        <fgColor rgb="FFEFF6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1" fillId="0" borderId="0" xfId="1" applyNumberFormat="1" applyFont="1" applyFill="1" applyBorder="1" applyAlignment="1">
      <alignment vertical="center" wrapText="1"/>
    </xf>
    <xf numFmtId="0" fontId="3" fillId="0" borderId="0" xfId="1" applyNumberFormat="1" applyFont="1" applyFill="1" applyBorder="1" applyAlignment="1">
      <alignment vertical="center" wrapText="1"/>
    </xf>
    <xf numFmtId="0" fontId="3" fillId="6" borderId="0" xfId="1" applyNumberFormat="1" applyFont="1" applyFill="1" applyBorder="1" applyAlignment="1">
      <alignment vertical="center" wrapText="1"/>
    </xf>
    <xf numFmtId="0" fontId="1" fillId="6" borderId="0" xfId="1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wrapText="1"/>
    </xf>
    <xf numFmtId="49" fontId="6" fillId="2" borderId="0" xfId="1" applyNumberFormat="1" applyFont="1" applyFill="1" applyBorder="1" applyAlignment="1">
      <alignment horizontal="center" vertical="center" wrapText="1"/>
    </xf>
    <xf numFmtId="49" fontId="6" fillId="3" borderId="0" xfId="1" applyNumberFormat="1" applyFont="1" applyFill="1" applyBorder="1" applyAlignment="1">
      <alignment horizontal="center" vertical="center" wrapText="1"/>
    </xf>
    <xf numFmtId="49" fontId="6" fillId="4" borderId="0" xfId="1" applyNumberFormat="1" applyFont="1" applyFill="1" applyBorder="1" applyAlignment="1">
      <alignment horizontal="center" vertical="center" wrapText="1"/>
    </xf>
    <xf numFmtId="49" fontId="6" fillId="5" borderId="0" xfId="1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49" fontId="8" fillId="0" borderId="0" xfId="1" applyNumberFormat="1" applyFont="1" applyFill="1" applyBorder="1" applyAlignment="1">
      <alignment vertical="center" wrapText="1"/>
    </xf>
    <xf numFmtId="176" fontId="8" fillId="0" borderId="0" xfId="0" applyNumberFormat="1" applyFont="1" applyFill="1" applyBorder="1" applyAlignment="1">
      <alignment vertical="center" wrapText="1"/>
    </xf>
    <xf numFmtId="177" fontId="8" fillId="0" borderId="0" xfId="0" applyNumberFormat="1" applyFont="1" applyFill="1" applyBorder="1" applyAlignment="1">
      <alignment vertical="center" wrapText="1"/>
    </xf>
    <xf numFmtId="49" fontId="8" fillId="0" borderId="0" xfId="0" applyNumberFormat="1" applyFont="1" applyFill="1" applyBorder="1" applyAlignment="1">
      <alignment vertical="center" wrapText="1"/>
    </xf>
    <xf numFmtId="0" fontId="7" fillId="0" borderId="0" xfId="0" applyFont="1"/>
    <xf numFmtId="177" fontId="8" fillId="0" borderId="0" xfId="0" applyNumberFormat="1" applyFont="1" applyFill="1" applyBorder="1" applyAlignment="1">
      <alignment horizontal="center" vertical="center" wrapText="1"/>
    </xf>
    <xf numFmtId="0" fontId="2" fillId="2" borderId="0" xfId="1" applyNumberFormat="1" applyFont="1" applyFill="1" applyBorder="1" applyAlignment="1">
      <alignment vertical="center" wrapText="1"/>
    </xf>
  </cellXfs>
  <cellStyles count="2">
    <cellStyle name="Normal" xfId="1"/>
    <cellStyle name="표준" xfId="0" builtinId="0"/>
  </cellStyles>
  <dxfs count="19"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53047"/>
        <name val="맑은 고딕"/>
        <scheme val="none"/>
      </font>
      <numFmt numFmtId="177" formatCode="[=1]&quot;가능&quot;;[=0]&quot;불가&quot;;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53047"/>
        <name val="맑은 고딕"/>
        <scheme val="none"/>
      </font>
      <numFmt numFmtId="177" formatCode="[=1]&quot;가능&quot;;[=0]&quot;불가&quot;;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53047"/>
        <name val="맑은 고딕"/>
        <scheme val="none"/>
      </font>
      <numFmt numFmtId="177" formatCode="[=1]&quot;가능&quot;;[=0]&quot;불가&quot;;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  <dxf>
      <font>
        <strike val="0"/>
        <outline val="0"/>
        <shadow val="0"/>
        <u val="none"/>
        <vertAlign val="baseline"/>
        <sz val="11"/>
        <name val="맑은 고딕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VenueInput" displayName="VenueInput" ref="A1:Q101" totalsRowShown="0" headerRowDxfId="18" dataDxfId="17">
  <autoFilter ref="A1:Q101"/>
  <tableColumns count="17">
    <tableColumn id="1" name="상호명" dataDxfId="16"/>
    <tableColumn id="2" name="주소" dataDxfId="15"/>
    <tableColumn id="3" name="업체연락처" dataDxfId="14"/>
    <tableColumn id="4" name="운동장카페" dataDxfId="13"/>
    <tableColumn id="5" name="동반 카페" dataDxfId="12"/>
    <tableColumn id="6" name="대형견카페" dataDxfId="11"/>
    <tableColumn id="7" name="동반 음식점" dataDxfId="10"/>
    <tableColumn id="8" name="동반 술집" dataDxfId="9"/>
    <tableColumn id="9" name="동반 펜션" dataDxfId="8"/>
    <tableColumn id="10" name="주차가능" dataDxfId="7"/>
    <tableColumn id="11" name="실내 동반" dataDxfId="6"/>
    <tableColumn id="12" name="테라스 동반" dataDxfId="5"/>
    <tableColumn id="15" name="호텔링" dataDxfId="4"/>
    <tableColumn id="16" name="유치원" dataDxfId="3"/>
    <tableColumn id="17" name="애견미용" dataDxfId="2"/>
    <tableColumn id="13" name="동반 조건 및 메모" dataDxfId="1"/>
    <tableColumn id="14" name="지역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Q101"/>
  <sheetViews>
    <sheetView showGridLines="0" tabSelected="1" zoomScale="80" zoomScaleNormal="80" workbookViewId="0">
      <pane xSplit="2" ySplit="1" topLeftCell="D53" activePane="bottomRight" state="frozen"/>
      <selection pane="topRight"/>
      <selection pane="bottomLeft"/>
      <selection pane="bottomRight" activeCell="A56" sqref="A56"/>
    </sheetView>
  </sheetViews>
  <sheetFormatPr defaultRowHeight="16.5"/>
  <cols>
    <col min="1" max="1" width="21.125" style="18" customWidth="1"/>
    <col min="2" max="2" width="37.75" style="18" customWidth="1"/>
    <col min="3" max="3" width="16.625" style="18" customWidth="1"/>
    <col min="4" max="11" width="12.5" style="18" customWidth="1"/>
    <col min="12" max="12" width="13.5" style="18" customWidth="1"/>
    <col min="13" max="13" width="9.5" style="18" customWidth="1"/>
    <col min="14" max="14" width="9.75" style="18" customWidth="1"/>
    <col min="15" max="15" width="9.75" style="13" customWidth="1"/>
    <col min="16" max="16" width="33.375" style="18" customWidth="1"/>
    <col min="17" max="17" width="12" style="18" customWidth="1"/>
    <col min="18" max="16384" width="9" style="18"/>
  </cols>
  <sheetData>
    <row r="1" spans="1:17" s="13" customFormat="1" ht="34.5" customHeight="1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9</v>
      </c>
      <c r="K1" s="10" t="s">
        <v>10</v>
      </c>
      <c r="L1" s="10" t="s">
        <v>11</v>
      </c>
      <c r="M1" s="10" t="s">
        <v>154</v>
      </c>
      <c r="N1" s="10" t="s">
        <v>155</v>
      </c>
      <c r="O1" s="10" t="s">
        <v>177</v>
      </c>
      <c r="P1" s="11" t="s">
        <v>12</v>
      </c>
      <c r="Q1" s="12" t="s">
        <v>61</v>
      </c>
    </row>
    <row r="2" spans="1:17" ht="25.5" customHeight="1">
      <c r="A2" s="14" t="s">
        <v>13</v>
      </c>
      <c r="B2" s="14" t="s">
        <v>118</v>
      </c>
      <c r="C2" s="14" t="s">
        <v>14</v>
      </c>
      <c r="D2" s="15">
        <v>1</v>
      </c>
      <c r="E2" s="15">
        <v>1</v>
      </c>
      <c r="F2" s="15">
        <v>0</v>
      </c>
      <c r="G2" s="15">
        <v>0</v>
      </c>
      <c r="H2" s="15">
        <v>0</v>
      </c>
      <c r="I2" s="15">
        <v>0</v>
      </c>
      <c r="J2" s="16">
        <v>1</v>
      </c>
      <c r="K2" s="16">
        <v>1</v>
      </c>
      <c r="L2" s="16">
        <v>1</v>
      </c>
      <c r="M2" s="16">
        <v>0</v>
      </c>
      <c r="N2" s="16">
        <v>0</v>
      </c>
      <c r="O2" s="19">
        <v>0</v>
      </c>
      <c r="P2" s="14"/>
      <c r="Q2" s="17" t="str">
        <f>IF(LEN(TRIM(B2))=0,"",IFERROR(VLOOKUP(LEFT(TRIM(B2),FIND(" ",TRIM(B2)&amp;" ")-1),작성안내!$D$4:$E$23,2,FALSE),LEFT(TRIM(B2),FIND(" ",TRIM(B2)&amp;" ")-1)))</f>
        <v>서울</v>
      </c>
    </row>
    <row r="3" spans="1:17" ht="25.5" customHeight="1">
      <c r="A3" s="14" t="s">
        <v>15</v>
      </c>
      <c r="B3" s="14" t="s">
        <v>129</v>
      </c>
      <c r="C3" s="14" t="s">
        <v>16</v>
      </c>
      <c r="D3" s="15">
        <v>1</v>
      </c>
      <c r="E3" s="15">
        <v>1</v>
      </c>
      <c r="F3" s="15">
        <v>0</v>
      </c>
      <c r="G3" s="15">
        <v>0</v>
      </c>
      <c r="H3" s="15">
        <v>0</v>
      </c>
      <c r="I3" s="15">
        <v>0</v>
      </c>
      <c r="J3" s="16">
        <v>1</v>
      </c>
      <c r="K3" s="16">
        <v>1</v>
      </c>
      <c r="L3" s="16">
        <v>1</v>
      </c>
      <c r="M3" s="16">
        <v>0</v>
      </c>
      <c r="N3" s="16">
        <v>0</v>
      </c>
      <c r="O3" s="19">
        <v>0</v>
      </c>
      <c r="P3" s="14"/>
      <c r="Q3" s="17" t="str">
        <f>IF(LEN(TRIM(B3))=0,"",IFERROR(VLOOKUP(LEFT(TRIM(B3),FIND(" ",TRIM(B3)&amp;" ")-1),작성안내!$D$4:$E$23,2,FALSE),LEFT(TRIM(B3),FIND(" ",TRIM(B3)&amp;" ")-1)))</f>
        <v>경기</v>
      </c>
    </row>
    <row r="4" spans="1:17" ht="25.5" customHeight="1">
      <c r="A4" s="14" t="s">
        <v>17</v>
      </c>
      <c r="B4" s="14" t="s">
        <v>126</v>
      </c>
      <c r="C4" s="14" t="s">
        <v>18</v>
      </c>
      <c r="D4" s="15">
        <v>0</v>
      </c>
      <c r="E4" s="15">
        <v>1</v>
      </c>
      <c r="F4" s="15">
        <v>0</v>
      </c>
      <c r="G4" s="15">
        <v>0</v>
      </c>
      <c r="H4" s="15">
        <v>0</v>
      </c>
      <c r="I4" s="15">
        <v>0</v>
      </c>
      <c r="J4" s="16">
        <v>1</v>
      </c>
      <c r="K4" s="16">
        <v>1</v>
      </c>
      <c r="L4" s="16">
        <v>1</v>
      </c>
      <c r="M4" s="16">
        <v>0</v>
      </c>
      <c r="N4" s="16">
        <v>0</v>
      </c>
      <c r="O4" s="19">
        <v>0</v>
      </c>
      <c r="P4" s="14" t="s">
        <v>119</v>
      </c>
      <c r="Q4" s="17" t="str">
        <f>IF(LEN(TRIM(B4))=0,"",IFERROR(VLOOKUP(LEFT(TRIM(B4),FIND(" ",TRIM(B4)&amp;" ")-1),작성안내!$D$4:$E$23,2,FALSE),LEFT(TRIM(B4),FIND(" ",TRIM(B4)&amp;" ")-1)))</f>
        <v>경기</v>
      </c>
    </row>
    <row r="5" spans="1:17" ht="25.5" customHeight="1">
      <c r="A5" s="14" t="s">
        <v>120</v>
      </c>
      <c r="B5" s="14" t="s">
        <v>127</v>
      </c>
      <c r="C5" s="14" t="s">
        <v>19</v>
      </c>
      <c r="D5" s="15">
        <v>1</v>
      </c>
      <c r="E5" s="15">
        <v>1</v>
      </c>
      <c r="F5" s="15">
        <v>0</v>
      </c>
      <c r="G5" s="15">
        <v>0</v>
      </c>
      <c r="H5" s="15">
        <v>0</v>
      </c>
      <c r="I5" s="15">
        <v>0</v>
      </c>
      <c r="J5" s="16">
        <v>1</v>
      </c>
      <c r="K5" s="16">
        <v>1</v>
      </c>
      <c r="L5" s="16">
        <v>1</v>
      </c>
      <c r="M5" s="16">
        <v>0</v>
      </c>
      <c r="N5" s="16">
        <v>0</v>
      </c>
      <c r="O5" s="19">
        <v>0</v>
      </c>
      <c r="P5" s="14"/>
      <c r="Q5" s="17" t="str">
        <f>IF(LEN(TRIM(B5))=0,"",IFERROR(VLOOKUP(LEFT(TRIM(B5),FIND(" ",TRIM(B5)&amp;" ")-1),작성안내!$D$4:$E$23,2,FALSE),LEFT(TRIM(B5),FIND(" ",TRIM(B5)&amp;" ")-1)))</f>
        <v>경기</v>
      </c>
    </row>
    <row r="6" spans="1:17" ht="25.5" customHeight="1">
      <c r="A6" s="14" t="s">
        <v>20</v>
      </c>
      <c r="B6" s="14" t="s">
        <v>128</v>
      </c>
      <c r="C6" s="14" t="s">
        <v>21</v>
      </c>
      <c r="D6" s="15">
        <v>1</v>
      </c>
      <c r="E6" s="15">
        <v>1</v>
      </c>
      <c r="F6" s="15">
        <v>1</v>
      </c>
      <c r="G6" s="15">
        <v>1</v>
      </c>
      <c r="H6" s="15">
        <v>0</v>
      </c>
      <c r="I6" s="15">
        <v>0</v>
      </c>
      <c r="J6" s="16">
        <v>1</v>
      </c>
      <c r="K6" s="16">
        <v>1</v>
      </c>
      <c r="L6" s="16">
        <v>1</v>
      </c>
      <c r="M6" s="16">
        <v>0</v>
      </c>
      <c r="N6" s="16">
        <v>0</v>
      </c>
      <c r="O6" s="19">
        <v>0</v>
      </c>
      <c r="P6" s="14"/>
      <c r="Q6" s="17" t="str">
        <f>IF(LEN(TRIM(B6))=0,"",IFERROR(VLOOKUP(LEFT(TRIM(B6),FIND(" ",TRIM(B6)&amp;" ")-1),작성안내!$D$4:$E$23,2,FALSE),LEFT(TRIM(B6),FIND(" ",TRIM(B6)&amp;" ")-1)))</f>
        <v>경기</v>
      </c>
    </row>
    <row r="7" spans="1:17" ht="25.5" customHeight="1">
      <c r="A7" s="14" t="s">
        <v>22</v>
      </c>
      <c r="B7" s="14" t="s">
        <v>135</v>
      </c>
      <c r="C7" s="14" t="s">
        <v>23</v>
      </c>
      <c r="D7" s="15">
        <v>1</v>
      </c>
      <c r="E7" s="15">
        <v>1</v>
      </c>
      <c r="F7" s="15">
        <v>0</v>
      </c>
      <c r="G7" s="15">
        <v>1</v>
      </c>
      <c r="H7" s="15">
        <v>0</v>
      </c>
      <c r="I7" s="15">
        <v>0</v>
      </c>
      <c r="J7" s="16">
        <v>1</v>
      </c>
      <c r="K7" s="16">
        <v>1</v>
      </c>
      <c r="L7" s="16">
        <v>1</v>
      </c>
      <c r="M7" s="16">
        <v>0</v>
      </c>
      <c r="N7" s="16">
        <v>0</v>
      </c>
      <c r="O7" s="19">
        <v>0</v>
      </c>
      <c r="P7" s="14"/>
      <c r="Q7" s="17" t="str">
        <f>IF(LEN(TRIM(B7))=0,"",IFERROR(VLOOKUP(LEFT(TRIM(B7),FIND(" ",TRIM(B7)&amp;" ")-1),작성안내!$D$4:$E$23,2,FALSE),LEFT(TRIM(B7),FIND(" ",TRIM(B7)&amp;" ")-1)))</f>
        <v>경기</v>
      </c>
    </row>
    <row r="8" spans="1:17" ht="25.5" customHeight="1">
      <c r="A8" s="14" t="s">
        <v>24</v>
      </c>
      <c r="B8" s="14" t="s">
        <v>121</v>
      </c>
      <c r="C8" s="14" t="s">
        <v>25</v>
      </c>
      <c r="D8" s="15">
        <v>1</v>
      </c>
      <c r="E8" s="15">
        <v>1</v>
      </c>
      <c r="F8" s="15">
        <v>0</v>
      </c>
      <c r="G8" s="15">
        <v>1</v>
      </c>
      <c r="H8" s="15">
        <v>0</v>
      </c>
      <c r="I8" s="15">
        <v>0</v>
      </c>
      <c r="J8" s="16">
        <v>1</v>
      </c>
      <c r="K8" s="16">
        <v>1</v>
      </c>
      <c r="L8" s="16">
        <v>1</v>
      </c>
      <c r="M8" s="16">
        <v>0</v>
      </c>
      <c r="N8" s="16">
        <v>0</v>
      </c>
      <c r="O8" s="19">
        <v>0</v>
      </c>
      <c r="P8" s="14"/>
      <c r="Q8" s="17" t="str">
        <f>IF(LEN(TRIM(B8))=0,"",IFERROR(VLOOKUP(LEFT(TRIM(B8),FIND(" ",TRIM(B8)&amp;" ")-1),작성안내!$D$4:$E$23,2,FALSE),LEFT(TRIM(B8),FIND(" ",TRIM(B8)&amp;" ")-1)))</f>
        <v>경기</v>
      </c>
    </row>
    <row r="9" spans="1:17" ht="25.5" customHeight="1">
      <c r="A9" s="14" t="s">
        <v>109</v>
      </c>
      <c r="B9" s="14" t="s">
        <v>122</v>
      </c>
      <c r="C9" s="14" t="s">
        <v>110</v>
      </c>
      <c r="D9" s="15">
        <v>1</v>
      </c>
      <c r="E9" s="15">
        <v>1</v>
      </c>
      <c r="F9" s="15">
        <v>0</v>
      </c>
      <c r="G9" s="15">
        <v>1</v>
      </c>
      <c r="H9" s="15">
        <v>0</v>
      </c>
      <c r="I9" s="15">
        <v>0</v>
      </c>
      <c r="J9" s="16">
        <v>1</v>
      </c>
      <c r="K9" s="16">
        <v>1</v>
      </c>
      <c r="L9" s="16">
        <v>1</v>
      </c>
      <c r="M9" s="16">
        <v>0</v>
      </c>
      <c r="N9" s="16">
        <v>0</v>
      </c>
      <c r="O9" s="19">
        <v>0</v>
      </c>
      <c r="P9" s="14"/>
      <c r="Q9" s="17" t="str">
        <f>IF(LEN(TRIM(B9))=0,"",IFERROR(VLOOKUP(LEFT(TRIM(B9),FIND(" ",TRIM(B9)&amp;" ")-1),작성안내!$D$4:$E$23,2,FALSE),LEFT(TRIM(B9),FIND(" ",TRIM(B9)&amp;" ")-1)))</f>
        <v>경기</v>
      </c>
    </row>
    <row r="10" spans="1:17" ht="25.5" customHeight="1">
      <c r="A10" s="14" t="s">
        <v>111</v>
      </c>
      <c r="B10" s="14" t="s">
        <v>130</v>
      </c>
      <c r="C10" s="14" t="s">
        <v>112</v>
      </c>
      <c r="D10" s="15">
        <v>1</v>
      </c>
      <c r="E10" s="15">
        <v>1</v>
      </c>
      <c r="F10" s="15">
        <v>1</v>
      </c>
      <c r="G10" s="15">
        <v>0</v>
      </c>
      <c r="H10" s="15">
        <v>0</v>
      </c>
      <c r="I10" s="15">
        <v>0</v>
      </c>
      <c r="J10" s="16">
        <v>1</v>
      </c>
      <c r="K10" s="16">
        <v>1</v>
      </c>
      <c r="L10" s="16">
        <v>1</v>
      </c>
      <c r="M10" s="16">
        <v>0</v>
      </c>
      <c r="N10" s="16">
        <v>0</v>
      </c>
      <c r="O10" s="19">
        <v>0</v>
      </c>
      <c r="P10" s="14"/>
      <c r="Q10" s="17" t="str">
        <f>IF(LEN(TRIM(B10))=0,"",IFERROR(VLOOKUP(LEFT(TRIM(B10),FIND(" ",TRIM(B10)&amp;" ")-1),작성안내!$D$4:$E$23,2,FALSE),LEFT(TRIM(B10),FIND(" ",TRIM(B10)&amp;" ")-1)))</f>
        <v>경기</v>
      </c>
    </row>
    <row r="11" spans="1:17" ht="25.5" customHeight="1">
      <c r="A11" s="14" t="s">
        <v>123</v>
      </c>
      <c r="B11" s="14" t="s">
        <v>131</v>
      </c>
      <c r="C11" s="14" t="s">
        <v>113</v>
      </c>
      <c r="D11" s="15">
        <v>0</v>
      </c>
      <c r="E11" s="15">
        <v>1</v>
      </c>
      <c r="F11" s="15">
        <v>0</v>
      </c>
      <c r="G11" s="15">
        <v>1</v>
      </c>
      <c r="H11" s="15">
        <v>0</v>
      </c>
      <c r="I11" s="15">
        <v>0</v>
      </c>
      <c r="J11" s="16">
        <v>1</v>
      </c>
      <c r="K11" s="16">
        <v>1</v>
      </c>
      <c r="L11" s="16">
        <v>1</v>
      </c>
      <c r="M11" s="16">
        <v>0</v>
      </c>
      <c r="N11" s="16">
        <v>0</v>
      </c>
      <c r="O11" s="19">
        <v>0</v>
      </c>
      <c r="P11" s="14"/>
      <c r="Q11" s="17" t="str">
        <f>IF(LEN(TRIM(B11))=0,"",IFERROR(VLOOKUP(LEFT(TRIM(B11),FIND(" ",TRIM(B11)&amp;" ")-1),작성안내!$D$4:$E$23,2,FALSE),LEFT(TRIM(B11),FIND(" ",TRIM(B11)&amp;" ")-1)))</f>
        <v>경기</v>
      </c>
    </row>
    <row r="12" spans="1:17" ht="25.5" customHeight="1">
      <c r="A12" s="14" t="s">
        <v>124</v>
      </c>
      <c r="B12" s="14" t="s">
        <v>132</v>
      </c>
      <c r="C12" s="14" t="s">
        <v>114</v>
      </c>
      <c r="D12" s="15">
        <v>1</v>
      </c>
      <c r="E12" s="15">
        <v>1</v>
      </c>
      <c r="F12" s="15">
        <v>1</v>
      </c>
      <c r="G12" s="15">
        <v>0</v>
      </c>
      <c r="H12" s="15">
        <v>0</v>
      </c>
      <c r="I12" s="15">
        <v>0</v>
      </c>
      <c r="J12" s="16">
        <v>1</v>
      </c>
      <c r="K12" s="16">
        <v>1</v>
      </c>
      <c r="L12" s="16">
        <v>1</v>
      </c>
      <c r="M12" s="16">
        <v>0</v>
      </c>
      <c r="N12" s="16">
        <v>0</v>
      </c>
      <c r="O12" s="19">
        <v>0</v>
      </c>
      <c r="P12" s="14"/>
      <c r="Q12" s="17" t="str">
        <f>IF(LEN(TRIM(B12))=0,"",IFERROR(VLOOKUP(LEFT(TRIM(B12),FIND(" ",TRIM(B12)&amp;" ")-1),작성안내!$D$4:$E$23,2,FALSE),LEFT(TRIM(B12),FIND(" ",TRIM(B12)&amp;" ")-1)))</f>
        <v>경기</v>
      </c>
    </row>
    <row r="13" spans="1:17" ht="25.5" customHeight="1">
      <c r="A13" s="14" t="s">
        <v>125</v>
      </c>
      <c r="B13" s="14" t="s">
        <v>133</v>
      </c>
      <c r="C13" s="14" t="s">
        <v>115</v>
      </c>
      <c r="D13" s="15">
        <v>1</v>
      </c>
      <c r="E13" s="15">
        <v>1</v>
      </c>
      <c r="F13" s="15">
        <v>1</v>
      </c>
      <c r="G13" s="15">
        <v>0</v>
      </c>
      <c r="H13" s="15">
        <v>0</v>
      </c>
      <c r="I13" s="15">
        <v>0</v>
      </c>
      <c r="J13" s="16">
        <v>1</v>
      </c>
      <c r="K13" s="16">
        <v>1</v>
      </c>
      <c r="L13" s="16">
        <v>1</v>
      </c>
      <c r="M13" s="16">
        <v>0</v>
      </c>
      <c r="N13" s="16">
        <v>0</v>
      </c>
      <c r="O13" s="19">
        <v>0</v>
      </c>
      <c r="P13" s="14"/>
      <c r="Q13" s="17" t="str">
        <f>IF(LEN(TRIM(B13))=0,"",IFERROR(VLOOKUP(LEFT(TRIM(B13),FIND(" ",TRIM(B13)&amp;" ")-1),작성안내!$D$4:$E$23,2,FALSE),LEFT(TRIM(B13),FIND(" ",TRIM(B13)&amp;" ")-1)))</f>
        <v>경기</v>
      </c>
    </row>
    <row r="14" spans="1:17" ht="25.5" customHeight="1">
      <c r="A14" s="14" t="s">
        <v>117</v>
      </c>
      <c r="B14" s="14" t="s">
        <v>134</v>
      </c>
      <c r="C14" s="14" t="s">
        <v>116</v>
      </c>
      <c r="D14" s="15">
        <v>1</v>
      </c>
      <c r="E14" s="15">
        <v>1</v>
      </c>
      <c r="F14" s="15">
        <v>1</v>
      </c>
      <c r="G14" s="15">
        <v>0</v>
      </c>
      <c r="H14" s="15">
        <v>0</v>
      </c>
      <c r="I14" s="15">
        <v>0</v>
      </c>
      <c r="J14" s="16">
        <v>1</v>
      </c>
      <c r="K14" s="16">
        <v>1</v>
      </c>
      <c r="L14" s="16">
        <v>1</v>
      </c>
      <c r="M14" s="16">
        <v>0</v>
      </c>
      <c r="N14" s="16">
        <v>0</v>
      </c>
      <c r="O14" s="19">
        <v>0</v>
      </c>
      <c r="P14" s="14"/>
      <c r="Q14" s="17" t="str">
        <f>IF(LEN(TRIM(B14))=0,"",IFERROR(VLOOKUP(LEFT(TRIM(B14),FIND(" ",TRIM(B14)&amp;" ")-1),작성안내!$D$4:$E$23,2,FALSE),LEFT(TRIM(B14),FIND(" ",TRIM(B14)&amp;" ")-1)))</f>
        <v>경기</v>
      </c>
    </row>
    <row r="15" spans="1:17" ht="25.5" customHeight="1">
      <c r="A15" s="14" t="s">
        <v>137</v>
      </c>
      <c r="B15" s="14" t="s">
        <v>136</v>
      </c>
      <c r="C15" s="14" t="s">
        <v>138</v>
      </c>
      <c r="D15" s="15">
        <v>0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6">
        <v>1</v>
      </c>
      <c r="K15" s="16">
        <v>1</v>
      </c>
      <c r="L15" s="16">
        <v>0</v>
      </c>
      <c r="M15" s="16">
        <v>0</v>
      </c>
      <c r="N15" s="16">
        <v>1</v>
      </c>
      <c r="O15" s="19">
        <v>0</v>
      </c>
      <c r="P15" s="14"/>
      <c r="Q15" s="17" t="str">
        <f>IF(LEN(TRIM(B15))=0,"",IFERROR(VLOOKUP(LEFT(TRIM(B15),FIND(" ",TRIM(B15)&amp;" ")-1),작성안내!$D$4:$E$23,2,FALSE),LEFT(TRIM(B15),FIND(" ",TRIM(B15)&amp;" ")-1)))</f>
        <v>경기</v>
      </c>
    </row>
    <row r="16" spans="1:17" ht="25.5" customHeight="1">
      <c r="A16" s="14" t="s">
        <v>140</v>
      </c>
      <c r="B16" s="14" t="s">
        <v>139</v>
      </c>
      <c r="C16" s="14" t="s">
        <v>141</v>
      </c>
      <c r="D16" s="15">
        <v>0</v>
      </c>
      <c r="E16" s="15">
        <v>1</v>
      </c>
      <c r="F16" s="15">
        <v>0</v>
      </c>
      <c r="G16" s="15">
        <v>0</v>
      </c>
      <c r="H16" s="15">
        <v>0</v>
      </c>
      <c r="I16" s="15">
        <v>0</v>
      </c>
      <c r="J16" s="16">
        <v>1</v>
      </c>
      <c r="K16" s="16">
        <v>1</v>
      </c>
      <c r="L16" s="16">
        <v>1</v>
      </c>
      <c r="M16" s="16">
        <v>0</v>
      </c>
      <c r="N16" s="16">
        <v>0</v>
      </c>
      <c r="O16" s="19">
        <v>0</v>
      </c>
      <c r="P16" s="14"/>
      <c r="Q16" s="17" t="str">
        <f>IF(LEN(TRIM(B16))=0,"",IFERROR(VLOOKUP(LEFT(TRIM(B16),FIND(" ",TRIM(B16)&amp;" ")-1),작성안내!$D$4:$E$23,2,FALSE),LEFT(TRIM(B16),FIND(" ",TRIM(B16)&amp;" ")-1)))</f>
        <v>경기</v>
      </c>
    </row>
    <row r="17" spans="1:17" ht="25.5" customHeight="1">
      <c r="A17" s="14" t="s">
        <v>142</v>
      </c>
      <c r="B17" s="14" t="s">
        <v>143</v>
      </c>
      <c r="C17" s="14" t="s">
        <v>144</v>
      </c>
      <c r="D17" s="15">
        <v>0</v>
      </c>
      <c r="E17" s="15">
        <v>1</v>
      </c>
      <c r="F17" s="15">
        <v>0</v>
      </c>
      <c r="G17" s="15">
        <v>1</v>
      </c>
      <c r="H17" s="15">
        <v>0</v>
      </c>
      <c r="I17" s="15">
        <v>0</v>
      </c>
      <c r="J17" s="16">
        <v>1</v>
      </c>
      <c r="K17" s="16">
        <v>1</v>
      </c>
      <c r="L17" s="16">
        <v>0</v>
      </c>
      <c r="M17" s="16">
        <v>0</v>
      </c>
      <c r="N17" s="16">
        <v>0</v>
      </c>
      <c r="O17" s="19">
        <v>0</v>
      </c>
      <c r="P17" s="14"/>
      <c r="Q17" s="17" t="str">
        <f>IF(LEN(TRIM(B17))=0,"",IFERROR(VLOOKUP(LEFT(TRIM(B17),FIND(" ",TRIM(B17)&amp;" ")-1),작성안내!$D$4:$E$23,2,FALSE),LEFT(TRIM(B17),FIND(" ",TRIM(B17)&amp;" ")-1)))</f>
        <v>경기</v>
      </c>
    </row>
    <row r="18" spans="1:17" ht="25.5" customHeight="1">
      <c r="A18" s="14" t="s">
        <v>146</v>
      </c>
      <c r="B18" s="14" t="s">
        <v>145</v>
      </c>
      <c r="C18" s="14" t="s">
        <v>147</v>
      </c>
      <c r="D18" s="15">
        <v>1</v>
      </c>
      <c r="E18" s="15">
        <v>1</v>
      </c>
      <c r="F18" s="15">
        <v>1</v>
      </c>
      <c r="G18" s="15">
        <v>1</v>
      </c>
      <c r="H18" s="15">
        <v>0</v>
      </c>
      <c r="I18" s="15">
        <v>0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9">
        <v>0</v>
      </c>
      <c r="P18" s="14"/>
      <c r="Q18" s="17" t="str">
        <f>IF(LEN(TRIM(B18))=0,"",IFERROR(VLOOKUP(LEFT(TRIM(B18),FIND(" ",TRIM(B18)&amp;" ")-1),작성안내!$D$4:$E$23,2,FALSE),LEFT(TRIM(B18),FIND(" ",TRIM(B18)&amp;" ")-1)))</f>
        <v>경기</v>
      </c>
    </row>
    <row r="19" spans="1:17" ht="25.5" customHeight="1">
      <c r="A19" s="14" t="s">
        <v>149</v>
      </c>
      <c r="B19" s="14" t="s">
        <v>148</v>
      </c>
      <c r="C19" s="14" t="s">
        <v>150</v>
      </c>
      <c r="D19" s="15">
        <v>1</v>
      </c>
      <c r="E19" s="15">
        <v>1</v>
      </c>
      <c r="F19" s="15">
        <v>0</v>
      </c>
      <c r="G19" s="15">
        <v>0</v>
      </c>
      <c r="H19" s="15">
        <v>0</v>
      </c>
      <c r="I19" s="15">
        <v>0</v>
      </c>
      <c r="J19" s="16">
        <v>1</v>
      </c>
      <c r="K19" s="16">
        <v>1</v>
      </c>
      <c r="L19" s="16">
        <v>1</v>
      </c>
      <c r="M19" s="16">
        <v>0</v>
      </c>
      <c r="N19" s="16">
        <v>0</v>
      </c>
      <c r="O19" s="19">
        <v>0</v>
      </c>
      <c r="P19" s="14"/>
      <c r="Q19" s="17" t="str">
        <f>IF(LEN(TRIM(B19))=0,"",IFERROR(VLOOKUP(LEFT(TRIM(B19),FIND(" ",TRIM(B19)&amp;" ")-1),작성안내!$D$4:$E$23,2,FALSE),LEFT(TRIM(B19),FIND(" ",TRIM(B19)&amp;" ")-1)))</f>
        <v>경기</v>
      </c>
    </row>
    <row r="20" spans="1:17" ht="25.5" customHeight="1">
      <c r="A20" s="14" t="s">
        <v>152</v>
      </c>
      <c r="B20" s="14" t="s">
        <v>151</v>
      </c>
      <c r="C20" s="14" t="s">
        <v>153</v>
      </c>
      <c r="D20" s="15">
        <v>1</v>
      </c>
      <c r="E20" s="15">
        <v>1</v>
      </c>
      <c r="F20" s="15">
        <v>0</v>
      </c>
      <c r="G20" s="15">
        <v>0</v>
      </c>
      <c r="H20" s="15">
        <v>0</v>
      </c>
      <c r="I20" s="15">
        <v>0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9">
        <v>0</v>
      </c>
      <c r="P20" s="14"/>
      <c r="Q20" s="17" t="str">
        <f>IF(LEN(TRIM(B20))=0,"",IFERROR(VLOOKUP(LEFT(TRIM(B20),FIND(" ",TRIM(B20)&amp;" ")-1),작성안내!$D$4:$E$23,2,FALSE),LEFT(TRIM(B20),FIND(" ",TRIM(B20)&amp;" ")-1)))</f>
        <v>경기</v>
      </c>
    </row>
    <row r="21" spans="1:17" ht="25.5" customHeight="1">
      <c r="A21" s="14" t="s">
        <v>157</v>
      </c>
      <c r="B21" s="14" t="s">
        <v>156</v>
      </c>
      <c r="C21" s="14" t="s">
        <v>158</v>
      </c>
      <c r="D21" s="15">
        <v>1</v>
      </c>
      <c r="E21" s="15">
        <v>1</v>
      </c>
      <c r="F21" s="15">
        <v>0</v>
      </c>
      <c r="G21" s="15">
        <v>1</v>
      </c>
      <c r="H21" s="15">
        <v>0</v>
      </c>
      <c r="I21" s="15">
        <v>0</v>
      </c>
      <c r="J21" s="16">
        <v>1</v>
      </c>
      <c r="K21" s="16">
        <v>1</v>
      </c>
      <c r="L21" s="16">
        <v>1</v>
      </c>
      <c r="M21" s="16">
        <v>0</v>
      </c>
      <c r="N21" s="16">
        <v>0</v>
      </c>
      <c r="O21" s="19">
        <v>0</v>
      </c>
      <c r="P21" s="14"/>
      <c r="Q21" s="17" t="str">
        <f>IF(LEN(TRIM(B21))=0,"",IFERROR(VLOOKUP(LEFT(TRIM(B21),FIND(" ",TRIM(B21)&amp;" ")-1),작성안내!$D$4:$E$23,2,FALSE),LEFT(TRIM(B21),FIND(" ",TRIM(B21)&amp;" ")-1)))</f>
        <v>경기</v>
      </c>
    </row>
    <row r="22" spans="1:17" ht="25.5" customHeight="1">
      <c r="A22" s="14" t="s">
        <v>160</v>
      </c>
      <c r="B22" s="14" t="s">
        <v>159</v>
      </c>
      <c r="C22" s="14" t="s">
        <v>161</v>
      </c>
      <c r="D22" s="15">
        <v>0</v>
      </c>
      <c r="E22" s="15">
        <v>1</v>
      </c>
      <c r="F22" s="15">
        <v>0</v>
      </c>
      <c r="G22" s="15">
        <v>0</v>
      </c>
      <c r="H22" s="15">
        <v>0</v>
      </c>
      <c r="I22" s="15">
        <v>0</v>
      </c>
      <c r="J22" s="16">
        <v>1</v>
      </c>
      <c r="K22" s="16">
        <v>1</v>
      </c>
      <c r="L22" s="16">
        <v>0</v>
      </c>
      <c r="M22" s="16">
        <v>0</v>
      </c>
      <c r="N22" s="16">
        <v>0</v>
      </c>
      <c r="O22" s="19">
        <v>0</v>
      </c>
      <c r="P22" s="14"/>
      <c r="Q22" s="17" t="str">
        <f>IF(LEN(TRIM(B22))=0,"",IFERROR(VLOOKUP(LEFT(TRIM(B22),FIND(" ",TRIM(B22)&amp;" ")-1),작성안내!$D$4:$E$23,2,FALSE),LEFT(TRIM(B22),FIND(" ",TRIM(B22)&amp;" ")-1)))</f>
        <v>서울</v>
      </c>
    </row>
    <row r="23" spans="1:17" ht="25.5" customHeight="1">
      <c r="A23" s="14" t="s">
        <v>163</v>
      </c>
      <c r="B23" s="14" t="s">
        <v>162</v>
      </c>
      <c r="C23" s="14" t="s">
        <v>164</v>
      </c>
      <c r="D23" s="15">
        <v>0</v>
      </c>
      <c r="E23" s="15">
        <v>1</v>
      </c>
      <c r="F23" s="15">
        <v>0</v>
      </c>
      <c r="G23" s="15">
        <v>0</v>
      </c>
      <c r="H23" s="15">
        <v>0</v>
      </c>
      <c r="I23" s="15">
        <v>0</v>
      </c>
      <c r="J23" s="16">
        <v>1</v>
      </c>
      <c r="K23" s="16">
        <v>1</v>
      </c>
      <c r="L23" s="16">
        <v>0</v>
      </c>
      <c r="M23" s="16">
        <v>1</v>
      </c>
      <c r="N23" s="16">
        <v>0</v>
      </c>
      <c r="O23" s="19">
        <v>0</v>
      </c>
      <c r="P23" s="14"/>
      <c r="Q23" s="17" t="str">
        <f>IF(LEN(TRIM(B23))=0,"",IFERROR(VLOOKUP(LEFT(TRIM(B23),FIND(" ",TRIM(B23)&amp;" ")-1),작성안내!$D$4:$E$23,2,FALSE),LEFT(TRIM(B23),FIND(" ",TRIM(B23)&amp;" ")-1)))</f>
        <v>서울</v>
      </c>
    </row>
    <row r="24" spans="1:17" ht="25.5" customHeight="1">
      <c r="A24" s="14" t="s">
        <v>166</v>
      </c>
      <c r="B24" s="14" t="s">
        <v>165</v>
      </c>
      <c r="C24" s="14" t="s">
        <v>167</v>
      </c>
      <c r="D24" s="15">
        <v>1</v>
      </c>
      <c r="E24" s="15">
        <v>1</v>
      </c>
      <c r="F24" s="15">
        <v>0</v>
      </c>
      <c r="G24" s="15">
        <v>1</v>
      </c>
      <c r="H24" s="15">
        <v>0</v>
      </c>
      <c r="I24" s="15">
        <v>0</v>
      </c>
      <c r="J24" s="16">
        <v>1</v>
      </c>
      <c r="K24" s="16">
        <v>1</v>
      </c>
      <c r="L24" s="16">
        <v>1</v>
      </c>
      <c r="M24" s="16">
        <v>0</v>
      </c>
      <c r="N24" s="16">
        <v>0</v>
      </c>
      <c r="O24" s="19">
        <v>0</v>
      </c>
      <c r="P24" s="14"/>
      <c r="Q24" s="17" t="str">
        <f>IF(LEN(TRIM(B24))=0,"",IFERROR(VLOOKUP(LEFT(TRIM(B24),FIND(" ",TRIM(B24)&amp;" ")-1),작성안내!$D$4:$E$23,2,FALSE),LEFT(TRIM(B24),FIND(" ",TRIM(B24)&amp;" ")-1)))</f>
        <v>서울</v>
      </c>
    </row>
    <row r="25" spans="1:17" ht="25.5" customHeight="1">
      <c r="A25" s="14" t="s">
        <v>169</v>
      </c>
      <c r="B25" s="14" t="s">
        <v>168</v>
      </c>
      <c r="C25" s="14" t="s">
        <v>170</v>
      </c>
      <c r="D25" s="15">
        <v>1</v>
      </c>
      <c r="E25" s="15">
        <v>1</v>
      </c>
      <c r="F25" s="15">
        <v>0</v>
      </c>
      <c r="G25" s="15">
        <v>1</v>
      </c>
      <c r="H25" s="15">
        <v>0</v>
      </c>
      <c r="I25" s="15">
        <v>0</v>
      </c>
      <c r="J25" s="16">
        <v>1</v>
      </c>
      <c r="K25" s="16">
        <v>1</v>
      </c>
      <c r="L25" s="16">
        <v>1</v>
      </c>
      <c r="M25" s="16">
        <v>0</v>
      </c>
      <c r="N25" s="16">
        <v>0</v>
      </c>
      <c r="O25" s="19">
        <v>0</v>
      </c>
      <c r="P25" s="14"/>
      <c r="Q25" s="17" t="str">
        <f>IF(LEN(TRIM(B25))=0,"",IFERROR(VLOOKUP(LEFT(TRIM(B25),FIND(" ",TRIM(B25)&amp;" ")-1),작성안내!$D$4:$E$23,2,FALSE),LEFT(TRIM(B25),FIND(" ",TRIM(B25)&amp;" ")-1)))</f>
        <v>경기</v>
      </c>
    </row>
    <row r="26" spans="1:17" ht="25.5" customHeight="1">
      <c r="A26" s="14" t="s">
        <v>172</v>
      </c>
      <c r="B26" s="14" t="s">
        <v>171</v>
      </c>
      <c r="C26" s="14" t="s">
        <v>173</v>
      </c>
      <c r="D26" s="15">
        <v>0</v>
      </c>
      <c r="E26" s="15">
        <v>1</v>
      </c>
      <c r="F26" s="15">
        <v>0</v>
      </c>
      <c r="G26" s="15">
        <v>0</v>
      </c>
      <c r="H26" s="15">
        <v>0</v>
      </c>
      <c r="I26" s="15">
        <v>0</v>
      </c>
      <c r="J26" s="16">
        <v>1</v>
      </c>
      <c r="K26" s="16">
        <v>1</v>
      </c>
      <c r="L26" s="16">
        <v>0</v>
      </c>
      <c r="M26" s="16">
        <v>1</v>
      </c>
      <c r="N26" s="16">
        <v>1</v>
      </c>
      <c r="O26" s="19">
        <v>0</v>
      </c>
      <c r="P26" s="14"/>
      <c r="Q26" s="17" t="str">
        <f>IF(LEN(TRIM(B26))=0,"",IFERROR(VLOOKUP(LEFT(TRIM(B26),FIND(" ",TRIM(B26)&amp;" ")-1),작성안내!$D$4:$E$23,2,FALSE),LEFT(TRIM(B26),FIND(" ",TRIM(B26)&amp;" ")-1)))</f>
        <v>경기</v>
      </c>
    </row>
    <row r="27" spans="1:17" ht="25.5" customHeight="1">
      <c r="A27" s="14" t="s">
        <v>175</v>
      </c>
      <c r="B27" s="14" t="s">
        <v>174</v>
      </c>
      <c r="C27" s="14" t="s">
        <v>176</v>
      </c>
      <c r="D27" s="15">
        <v>0</v>
      </c>
      <c r="E27" s="15">
        <v>1</v>
      </c>
      <c r="F27" s="15">
        <v>0</v>
      </c>
      <c r="G27" s="15">
        <v>0</v>
      </c>
      <c r="H27" s="15">
        <v>0</v>
      </c>
      <c r="I27" s="15">
        <v>0</v>
      </c>
      <c r="J27" s="16">
        <v>0</v>
      </c>
      <c r="K27" s="16">
        <v>1</v>
      </c>
      <c r="L27" s="16">
        <v>0</v>
      </c>
      <c r="M27" s="16">
        <v>0</v>
      </c>
      <c r="N27" s="16">
        <v>0</v>
      </c>
      <c r="O27" s="19">
        <v>1</v>
      </c>
      <c r="P27" s="14"/>
      <c r="Q27" s="17" t="str">
        <f>IF(LEN(TRIM(B27))=0,"",IFERROR(VLOOKUP(LEFT(TRIM(B27),FIND(" ",TRIM(B27)&amp;" ")-1),작성안내!$D$4:$E$23,2,FALSE),LEFT(TRIM(B27),FIND(" ",TRIM(B27)&amp;" ")-1)))</f>
        <v>서울</v>
      </c>
    </row>
    <row r="28" spans="1:17" ht="25.5" customHeight="1">
      <c r="A28" s="14" t="s">
        <v>178</v>
      </c>
      <c r="B28" s="14" t="s">
        <v>179</v>
      </c>
      <c r="C28" s="14" t="s">
        <v>180</v>
      </c>
      <c r="D28" s="15">
        <v>1</v>
      </c>
      <c r="E28" s="15">
        <v>1</v>
      </c>
      <c r="F28" s="15">
        <v>0</v>
      </c>
      <c r="G28" s="15">
        <v>0</v>
      </c>
      <c r="H28" s="15">
        <v>0</v>
      </c>
      <c r="I28" s="15">
        <v>0</v>
      </c>
      <c r="J28" s="16">
        <v>1</v>
      </c>
      <c r="K28" s="16">
        <v>1</v>
      </c>
      <c r="L28" s="16">
        <v>1</v>
      </c>
      <c r="M28" s="16">
        <v>0</v>
      </c>
      <c r="N28" s="16">
        <v>0</v>
      </c>
      <c r="O28" s="19">
        <v>0</v>
      </c>
      <c r="P28" s="14"/>
      <c r="Q28" s="17" t="str">
        <f>IF(LEN(TRIM(B28))=0,"",IFERROR(VLOOKUP(LEFT(TRIM(B28),FIND(" ",TRIM(B28)&amp;" ")-1),작성안내!$D$4:$E$23,2,FALSE),LEFT(TRIM(B28),FIND(" ",TRIM(B28)&amp;" ")-1)))</f>
        <v>경기</v>
      </c>
    </row>
    <row r="29" spans="1:17" ht="25.5" customHeight="1">
      <c r="A29" s="14" t="s">
        <v>182</v>
      </c>
      <c r="B29" s="14" t="s">
        <v>181</v>
      </c>
      <c r="C29" s="14" t="s">
        <v>183</v>
      </c>
      <c r="D29" s="15">
        <v>0</v>
      </c>
      <c r="E29" s="15">
        <v>1</v>
      </c>
      <c r="F29" s="15">
        <v>0</v>
      </c>
      <c r="G29" s="15">
        <v>0</v>
      </c>
      <c r="H29" s="15">
        <v>0</v>
      </c>
      <c r="I29" s="15">
        <v>0</v>
      </c>
      <c r="J29" s="16">
        <v>1</v>
      </c>
      <c r="K29" s="16">
        <v>1</v>
      </c>
      <c r="L29" s="16">
        <v>0</v>
      </c>
      <c r="M29" s="16">
        <v>1</v>
      </c>
      <c r="N29" s="16">
        <v>1</v>
      </c>
      <c r="O29" s="19">
        <v>0</v>
      </c>
      <c r="P29" s="14"/>
      <c r="Q29" s="17" t="str">
        <f>IF(LEN(TRIM(B29))=0,"",IFERROR(VLOOKUP(LEFT(TRIM(B29),FIND(" ",TRIM(B29)&amp;" ")-1),작성안내!$D$4:$E$23,2,FALSE),LEFT(TRIM(B29),FIND(" ",TRIM(B29)&amp;" ")-1)))</f>
        <v>경기</v>
      </c>
    </row>
    <row r="30" spans="1:17" ht="25.5" customHeight="1">
      <c r="A30" s="14" t="s">
        <v>185</v>
      </c>
      <c r="B30" s="14" t="s">
        <v>184</v>
      </c>
      <c r="C30" s="14" t="s">
        <v>186</v>
      </c>
      <c r="D30" s="15">
        <v>0</v>
      </c>
      <c r="E30" s="15">
        <v>1</v>
      </c>
      <c r="F30" s="15">
        <v>0</v>
      </c>
      <c r="G30" s="15">
        <v>0</v>
      </c>
      <c r="H30" s="15">
        <v>0</v>
      </c>
      <c r="I30" s="15">
        <v>0</v>
      </c>
      <c r="J30" s="16">
        <v>1</v>
      </c>
      <c r="K30" s="16">
        <v>1</v>
      </c>
      <c r="L30" s="16">
        <v>0</v>
      </c>
      <c r="M30" s="16">
        <v>1</v>
      </c>
      <c r="N30" s="16">
        <v>1</v>
      </c>
      <c r="O30" s="19">
        <v>0</v>
      </c>
      <c r="P30" s="14"/>
      <c r="Q30" s="17" t="str">
        <f>IF(LEN(TRIM(B30))=0,"",IFERROR(VLOOKUP(LEFT(TRIM(B30),FIND(" ",TRIM(B30)&amp;" ")-1),작성안내!$D$4:$E$23,2,FALSE),LEFT(TRIM(B30),FIND(" ",TRIM(B30)&amp;" ")-1)))</f>
        <v>경기</v>
      </c>
    </row>
    <row r="31" spans="1:17" ht="25.5" customHeight="1">
      <c r="A31" s="14" t="s">
        <v>188</v>
      </c>
      <c r="B31" s="14" t="s">
        <v>187</v>
      </c>
      <c r="C31" s="14" t="s">
        <v>189</v>
      </c>
      <c r="D31" s="15">
        <v>0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6">
        <v>0</v>
      </c>
      <c r="K31" s="16">
        <v>1</v>
      </c>
      <c r="L31" s="16">
        <v>0</v>
      </c>
      <c r="M31" s="16">
        <v>1</v>
      </c>
      <c r="N31" s="16">
        <v>1</v>
      </c>
      <c r="O31" s="19">
        <v>0</v>
      </c>
      <c r="P31" s="14"/>
      <c r="Q31" s="17" t="str">
        <f>IF(LEN(TRIM(B31))=0,"",IFERROR(VLOOKUP(LEFT(TRIM(B31),FIND(" ",TRIM(B31)&amp;" ")-1),작성안내!$D$4:$E$23,2,FALSE),LEFT(TRIM(B31),FIND(" ",TRIM(B31)&amp;" ")-1)))</f>
        <v>경기</v>
      </c>
    </row>
    <row r="32" spans="1:17" ht="25.5" customHeight="1">
      <c r="A32" s="14" t="s">
        <v>191</v>
      </c>
      <c r="B32" s="14" t="s">
        <v>190</v>
      </c>
      <c r="C32" s="14" t="s">
        <v>192</v>
      </c>
      <c r="D32" s="15">
        <v>0</v>
      </c>
      <c r="E32" s="15">
        <v>1</v>
      </c>
      <c r="F32" s="15">
        <v>0</v>
      </c>
      <c r="G32" s="15">
        <v>1</v>
      </c>
      <c r="H32" s="15">
        <v>0</v>
      </c>
      <c r="I32" s="15">
        <v>0</v>
      </c>
      <c r="J32" s="16">
        <v>1</v>
      </c>
      <c r="K32" s="16">
        <v>1</v>
      </c>
      <c r="L32" s="16">
        <v>0</v>
      </c>
      <c r="M32" s="16">
        <v>0</v>
      </c>
      <c r="N32" s="16">
        <v>0</v>
      </c>
      <c r="O32" s="19">
        <v>0</v>
      </c>
      <c r="P32" s="14"/>
      <c r="Q32" s="17" t="str">
        <f>IF(LEN(TRIM(B32))=0,"",IFERROR(VLOOKUP(LEFT(TRIM(B32),FIND(" ",TRIM(B32)&amp;" ")-1),작성안내!$D$4:$E$23,2,FALSE),LEFT(TRIM(B32),FIND(" ",TRIM(B32)&amp;" ")-1)))</f>
        <v>서울</v>
      </c>
    </row>
    <row r="33" spans="1:17" ht="25.5" customHeight="1">
      <c r="A33" s="14" t="s">
        <v>194</v>
      </c>
      <c r="B33" s="14" t="s">
        <v>193</v>
      </c>
      <c r="C33" s="14" t="s">
        <v>195</v>
      </c>
      <c r="D33" s="15">
        <v>1</v>
      </c>
      <c r="E33" s="15">
        <v>1</v>
      </c>
      <c r="F33" s="15">
        <v>0</v>
      </c>
      <c r="G33" s="15">
        <v>0</v>
      </c>
      <c r="H33" s="15">
        <v>0</v>
      </c>
      <c r="I33" s="15">
        <v>0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9">
        <v>1</v>
      </c>
      <c r="P33" s="14"/>
      <c r="Q33" s="17" t="str">
        <f>IF(LEN(TRIM(B33))=0,"",IFERROR(VLOOKUP(LEFT(TRIM(B33),FIND(" ",TRIM(B33)&amp;" ")-1),작성안내!$D$4:$E$23,2,FALSE),LEFT(TRIM(B33),FIND(" ",TRIM(B33)&amp;" ")-1)))</f>
        <v>서울</v>
      </c>
    </row>
    <row r="34" spans="1:17" ht="25.5" customHeight="1">
      <c r="A34" s="14" t="s">
        <v>197</v>
      </c>
      <c r="B34" s="14" t="s">
        <v>196</v>
      </c>
      <c r="C34" s="14" t="s">
        <v>198</v>
      </c>
      <c r="D34" s="15">
        <v>0</v>
      </c>
      <c r="E34" s="15">
        <v>1</v>
      </c>
      <c r="F34" s="15">
        <v>0</v>
      </c>
      <c r="G34" s="15">
        <v>0</v>
      </c>
      <c r="H34" s="15">
        <v>0</v>
      </c>
      <c r="I34" s="15">
        <v>0</v>
      </c>
      <c r="J34" s="16">
        <v>0</v>
      </c>
      <c r="K34" s="16">
        <v>1</v>
      </c>
      <c r="L34" s="16">
        <v>0</v>
      </c>
      <c r="M34" s="16">
        <v>1</v>
      </c>
      <c r="N34" s="16">
        <v>0</v>
      </c>
      <c r="O34" s="19">
        <v>1</v>
      </c>
      <c r="P34" s="14"/>
      <c r="Q34" s="17" t="str">
        <f>IF(LEN(TRIM(B34))=0,"",IFERROR(VLOOKUP(LEFT(TRIM(B34),FIND(" ",TRIM(B34)&amp;" ")-1),작성안내!$D$4:$E$23,2,FALSE),LEFT(TRIM(B34),FIND(" ",TRIM(B34)&amp;" ")-1)))</f>
        <v>서울</v>
      </c>
    </row>
    <row r="35" spans="1:17" ht="25.5" customHeight="1">
      <c r="A35" s="14" t="s">
        <v>200</v>
      </c>
      <c r="B35" s="14" t="s">
        <v>199</v>
      </c>
      <c r="C35" s="14" t="s">
        <v>201</v>
      </c>
      <c r="D35" s="15">
        <v>0</v>
      </c>
      <c r="E35" s="15">
        <v>1</v>
      </c>
      <c r="F35" s="15">
        <v>0</v>
      </c>
      <c r="G35" s="15">
        <v>0</v>
      </c>
      <c r="H35" s="15">
        <v>0</v>
      </c>
      <c r="I35" s="15">
        <v>0</v>
      </c>
      <c r="J35" s="16">
        <v>1</v>
      </c>
      <c r="K35" s="16">
        <v>1</v>
      </c>
      <c r="L35" s="16">
        <v>0</v>
      </c>
      <c r="M35" s="16">
        <v>0</v>
      </c>
      <c r="N35" s="16">
        <v>0</v>
      </c>
      <c r="O35" s="19">
        <v>1</v>
      </c>
      <c r="P35" s="14"/>
      <c r="Q35" s="17" t="str">
        <f>IF(LEN(TRIM(B35))=0,"",IFERROR(VLOOKUP(LEFT(TRIM(B35),FIND(" ",TRIM(B35)&amp;" ")-1),작성안내!$D$4:$E$23,2,FALSE),LEFT(TRIM(B35),FIND(" ",TRIM(B35)&amp;" ")-1)))</f>
        <v>서울</v>
      </c>
    </row>
    <row r="36" spans="1:17" ht="25.5" customHeight="1">
      <c r="A36" s="14" t="s">
        <v>203</v>
      </c>
      <c r="B36" s="14" t="s">
        <v>202</v>
      </c>
      <c r="C36" s="14" t="s">
        <v>204</v>
      </c>
      <c r="D36" s="15">
        <v>0</v>
      </c>
      <c r="E36" s="15">
        <v>1</v>
      </c>
      <c r="F36" s="15">
        <v>0</v>
      </c>
      <c r="G36" s="15">
        <v>1</v>
      </c>
      <c r="H36" s="15">
        <v>0</v>
      </c>
      <c r="I36" s="15">
        <v>0</v>
      </c>
      <c r="J36" s="16">
        <v>1</v>
      </c>
      <c r="K36" s="16">
        <v>1</v>
      </c>
      <c r="L36" s="16">
        <v>0</v>
      </c>
      <c r="M36" s="16">
        <v>1</v>
      </c>
      <c r="N36" s="16">
        <v>1</v>
      </c>
      <c r="O36" s="19">
        <v>1</v>
      </c>
      <c r="P36" s="14"/>
      <c r="Q36" s="17" t="str">
        <f>IF(LEN(TRIM(B36))=0,"",IFERROR(VLOOKUP(LEFT(TRIM(B36),FIND(" ",TRIM(B36)&amp;" ")-1),작성안내!$D$4:$E$23,2,FALSE),LEFT(TRIM(B36),FIND(" ",TRIM(B36)&amp;" ")-1)))</f>
        <v>서울</v>
      </c>
    </row>
    <row r="37" spans="1:17" ht="25.5" customHeight="1">
      <c r="A37" s="14" t="s">
        <v>206</v>
      </c>
      <c r="B37" s="14" t="s">
        <v>205</v>
      </c>
      <c r="C37" s="14" t="s">
        <v>207</v>
      </c>
      <c r="D37" s="15">
        <v>0</v>
      </c>
      <c r="E37" s="15">
        <v>1</v>
      </c>
      <c r="F37" s="15">
        <v>0</v>
      </c>
      <c r="G37" s="15">
        <v>0</v>
      </c>
      <c r="H37" s="15">
        <v>0</v>
      </c>
      <c r="I37" s="15">
        <v>0</v>
      </c>
      <c r="J37" s="16">
        <v>1</v>
      </c>
      <c r="K37" s="16">
        <v>1</v>
      </c>
      <c r="L37" s="16">
        <v>0</v>
      </c>
      <c r="M37" s="16">
        <v>1</v>
      </c>
      <c r="N37" s="16">
        <v>1</v>
      </c>
      <c r="O37" s="19">
        <v>0</v>
      </c>
      <c r="P37" s="14"/>
      <c r="Q37" s="17" t="str">
        <f>IF(LEN(TRIM(B37))=0,"",IFERROR(VLOOKUP(LEFT(TRIM(B37),FIND(" ",TRIM(B37)&amp;" ")-1),작성안내!$D$4:$E$23,2,FALSE),LEFT(TRIM(B37),FIND(" ",TRIM(B37)&amp;" ")-1)))</f>
        <v>서울</v>
      </c>
    </row>
    <row r="38" spans="1:17" ht="25.5" customHeight="1">
      <c r="A38" s="14" t="s">
        <v>209</v>
      </c>
      <c r="B38" s="14" t="s">
        <v>208</v>
      </c>
      <c r="C38" s="14" t="s">
        <v>210</v>
      </c>
      <c r="D38" s="15">
        <v>0</v>
      </c>
      <c r="E38" s="15">
        <v>0</v>
      </c>
      <c r="F38" s="15">
        <v>0</v>
      </c>
      <c r="G38" s="15">
        <v>0</v>
      </c>
      <c r="H38" s="15">
        <v>1</v>
      </c>
      <c r="I38" s="15">
        <v>0</v>
      </c>
      <c r="J38" s="16">
        <v>0</v>
      </c>
      <c r="K38" s="16">
        <v>1</v>
      </c>
      <c r="L38" s="16">
        <v>0</v>
      </c>
      <c r="M38" s="16">
        <v>0</v>
      </c>
      <c r="N38" s="16">
        <v>0</v>
      </c>
      <c r="O38" s="19">
        <v>0</v>
      </c>
      <c r="P38" s="14"/>
      <c r="Q38" s="17" t="str">
        <f>IF(LEN(TRIM(B38))=0,"",IFERROR(VLOOKUP(LEFT(TRIM(B38),FIND(" ",TRIM(B38)&amp;" ")-1),작성안내!$D$4:$E$23,2,FALSE),LEFT(TRIM(B38),FIND(" ",TRIM(B38)&amp;" ")-1)))</f>
        <v>서울</v>
      </c>
    </row>
    <row r="39" spans="1:17" ht="25.5" customHeight="1">
      <c r="A39" s="14" t="s">
        <v>212</v>
      </c>
      <c r="B39" s="14" t="s">
        <v>211</v>
      </c>
      <c r="C39" s="14" t="s">
        <v>213</v>
      </c>
      <c r="D39" s="15">
        <v>0</v>
      </c>
      <c r="E39" s="15">
        <v>0</v>
      </c>
      <c r="F39" s="15">
        <v>0</v>
      </c>
      <c r="G39" s="15">
        <v>0</v>
      </c>
      <c r="H39" s="15">
        <v>1</v>
      </c>
      <c r="I39" s="15">
        <v>0</v>
      </c>
      <c r="J39" s="16">
        <v>0</v>
      </c>
      <c r="K39" s="16">
        <v>1</v>
      </c>
      <c r="L39" s="16">
        <v>0</v>
      </c>
      <c r="M39" s="16">
        <v>0</v>
      </c>
      <c r="N39" s="16">
        <v>0</v>
      </c>
      <c r="O39" s="19">
        <v>0</v>
      </c>
      <c r="P39" s="14"/>
      <c r="Q39" s="17" t="str">
        <f>IF(LEN(TRIM(B39))=0,"",IFERROR(VLOOKUP(LEFT(TRIM(B39),FIND(" ",TRIM(B39)&amp;" ")-1),작성안내!$D$4:$E$23,2,FALSE),LEFT(TRIM(B39),FIND(" ",TRIM(B39)&amp;" ")-1)))</f>
        <v>서울</v>
      </c>
    </row>
    <row r="40" spans="1:17" ht="25.5" customHeight="1">
      <c r="A40" s="14" t="s">
        <v>215</v>
      </c>
      <c r="B40" s="14" t="s">
        <v>214</v>
      </c>
      <c r="C40" s="14" t="s">
        <v>216</v>
      </c>
      <c r="D40" s="15">
        <v>0</v>
      </c>
      <c r="E40" s="15">
        <v>0</v>
      </c>
      <c r="F40" s="15">
        <v>0</v>
      </c>
      <c r="G40" s="15">
        <v>0</v>
      </c>
      <c r="H40" s="15">
        <v>1</v>
      </c>
      <c r="I40" s="15">
        <v>0</v>
      </c>
      <c r="J40" s="16">
        <v>0</v>
      </c>
      <c r="K40" s="16">
        <v>1</v>
      </c>
      <c r="L40" s="16">
        <v>0</v>
      </c>
      <c r="M40" s="16">
        <v>0</v>
      </c>
      <c r="N40" s="16">
        <v>0</v>
      </c>
      <c r="O40" s="19">
        <v>0</v>
      </c>
      <c r="P40" s="14"/>
      <c r="Q40" s="17" t="str">
        <f>IF(LEN(TRIM(B40))=0,"",IFERROR(VLOOKUP(LEFT(TRIM(B40),FIND(" ",TRIM(B40)&amp;" ")-1),작성안내!$D$4:$E$23,2,FALSE),LEFT(TRIM(B40),FIND(" ",TRIM(B40)&amp;" ")-1)))</f>
        <v>서울</v>
      </c>
    </row>
    <row r="41" spans="1:17" ht="25.5" customHeight="1">
      <c r="A41" s="14" t="s">
        <v>219</v>
      </c>
      <c r="B41" s="14" t="s">
        <v>217</v>
      </c>
      <c r="C41" s="14" t="s">
        <v>218</v>
      </c>
      <c r="D41" s="15">
        <v>0</v>
      </c>
      <c r="E41" s="15">
        <v>0</v>
      </c>
      <c r="F41" s="15">
        <v>0</v>
      </c>
      <c r="G41" s="15">
        <v>0</v>
      </c>
      <c r="H41" s="15">
        <v>1</v>
      </c>
      <c r="I41" s="15">
        <v>0</v>
      </c>
      <c r="J41" s="16">
        <v>1</v>
      </c>
      <c r="K41" s="16">
        <v>1</v>
      </c>
      <c r="L41" s="16">
        <v>0</v>
      </c>
      <c r="M41" s="16">
        <v>0</v>
      </c>
      <c r="N41" s="16">
        <v>0</v>
      </c>
      <c r="O41" s="19">
        <v>0</v>
      </c>
      <c r="P41" s="14"/>
      <c r="Q41" s="17" t="str">
        <f>IF(LEN(TRIM(B41))=0,"",IFERROR(VLOOKUP(LEFT(TRIM(B41),FIND(" ",TRIM(B41)&amp;" ")-1),작성안내!$D$4:$E$23,2,FALSE),LEFT(TRIM(B41),FIND(" ",TRIM(B41)&amp;" ")-1)))</f>
        <v>서울</v>
      </c>
    </row>
    <row r="42" spans="1:17" ht="25.5" customHeight="1">
      <c r="A42" s="14" t="s">
        <v>221</v>
      </c>
      <c r="B42" s="14" t="s">
        <v>220</v>
      </c>
      <c r="C42" s="14" t="s">
        <v>222</v>
      </c>
      <c r="D42" s="15">
        <v>0</v>
      </c>
      <c r="E42" s="15">
        <v>0</v>
      </c>
      <c r="F42" s="15">
        <v>0</v>
      </c>
      <c r="G42" s="15">
        <v>0</v>
      </c>
      <c r="H42" s="15">
        <v>1</v>
      </c>
      <c r="I42" s="15">
        <v>0</v>
      </c>
      <c r="J42" s="16">
        <v>1</v>
      </c>
      <c r="K42" s="16">
        <v>1</v>
      </c>
      <c r="L42" s="16">
        <v>1</v>
      </c>
      <c r="M42" s="16">
        <v>0</v>
      </c>
      <c r="N42" s="16">
        <v>0</v>
      </c>
      <c r="O42" s="19">
        <v>0</v>
      </c>
      <c r="P42" s="14"/>
      <c r="Q42" s="17" t="str">
        <f>IF(LEN(TRIM(B42))=0,"",IFERROR(VLOOKUP(LEFT(TRIM(B42),FIND(" ",TRIM(B42)&amp;" ")-1),작성안내!$D$4:$E$23,2,FALSE),LEFT(TRIM(B42),FIND(" ",TRIM(B42)&amp;" ")-1)))</f>
        <v>경기</v>
      </c>
    </row>
    <row r="43" spans="1:17" ht="25.5" customHeight="1">
      <c r="A43" s="14" t="s">
        <v>224</v>
      </c>
      <c r="B43" s="14" t="s">
        <v>223</v>
      </c>
      <c r="C43" s="14" t="s">
        <v>225</v>
      </c>
      <c r="D43" s="15">
        <v>0</v>
      </c>
      <c r="E43" s="15">
        <v>0</v>
      </c>
      <c r="F43" s="15">
        <v>0</v>
      </c>
      <c r="G43" s="15">
        <v>0</v>
      </c>
      <c r="H43" s="15">
        <v>1</v>
      </c>
      <c r="I43" s="15">
        <v>0</v>
      </c>
      <c r="J43" s="16">
        <v>1</v>
      </c>
      <c r="K43" s="16">
        <v>1</v>
      </c>
      <c r="L43" s="16">
        <v>0</v>
      </c>
      <c r="M43" s="16">
        <v>0</v>
      </c>
      <c r="N43" s="16">
        <v>0</v>
      </c>
      <c r="O43" s="19">
        <v>0</v>
      </c>
      <c r="P43" s="14"/>
      <c r="Q43" s="17" t="str">
        <f>IF(LEN(TRIM(B43))=0,"",IFERROR(VLOOKUP(LEFT(TRIM(B43),FIND(" ",TRIM(B43)&amp;" ")-1),작성안내!$D$4:$E$23,2,FALSE),LEFT(TRIM(B43),FIND(" ",TRIM(B43)&amp;" ")-1)))</f>
        <v>서울</v>
      </c>
    </row>
    <row r="44" spans="1:17" ht="25.5" customHeight="1">
      <c r="A44" s="14" t="s">
        <v>227</v>
      </c>
      <c r="B44" s="14" t="s">
        <v>226</v>
      </c>
      <c r="C44" s="14" t="s">
        <v>228</v>
      </c>
      <c r="D44" s="15">
        <v>0</v>
      </c>
      <c r="E44" s="15">
        <v>0</v>
      </c>
      <c r="F44" s="15">
        <v>0</v>
      </c>
      <c r="G44" s="15">
        <v>0</v>
      </c>
      <c r="H44" s="15">
        <v>1</v>
      </c>
      <c r="I44" s="15">
        <v>0</v>
      </c>
      <c r="J44" s="16">
        <v>0</v>
      </c>
      <c r="K44" s="16">
        <v>1</v>
      </c>
      <c r="L44" s="16">
        <v>0</v>
      </c>
      <c r="M44" s="16">
        <v>0</v>
      </c>
      <c r="N44" s="16">
        <v>0</v>
      </c>
      <c r="O44" s="19">
        <v>0</v>
      </c>
      <c r="P44" s="14"/>
      <c r="Q44" s="17" t="str">
        <f>IF(LEN(TRIM(B44))=0,"",IFERROR(VLOOKUP(LEFT(TRIM(B44),FIND(" ",TRIM(B44)&amp;" ")-1),작성안내!$D$4:$E$23,2,FALSE),LEFT(TRIM(B44),FIND(" ",TRIM(B44)&amp;" ")-1)))</f>
        <v>경기</v>
      </c>
    </row>
    <row r="45" spans="1:17" ht="25.5" customHeight="1">
      <c r="A45" s="14" t="s">
        <v>230</v>
      </c>
      <c r="B45" s="14" t="s">
        <v>229</v>
      </c>
      <c r="C45" s="14" t="s">
        <v>231</v>
      </c>
      <c r="D45" s="15">
        <v>0</v>
      </c>
      <c r="E45" s="15">
        <v>0</v>
      </c>
      <c r="F45" s="15">
        <v>0</v>
      </c>
      <c r="G45" s="15">
        <v>0</v>
      </c>
      <c r="H45" s="15">
        <v>1</v>
      </c>
      <c r="I45" s="15">
        <v>0</v>
      </c>
      <c r="J45" s="16">
        <v>1</v>
      </c>
      <c r="K45" s="16">
        <v>1</v>
      </c>
      <c r="L45" s="16">
        <v>0</v>
      </c>
      <c r="M45" s="16">
        <v>0</v>
      </c>
      <c r="N45" s="16">
        <v>0</v>
      </c>
      <c r="O45" s="19">
        <v>0</v>
      </c>
      <c r="P45" s="14"/>
      <c r="Q45" s="17" t="str">
        <f>IF(LEN(TRIM(B45))=0,"",IFERROR(VLOOKUP(LEFT(TRIM(B45),FIND(" ",TRIM(B45)&amp;" ")-1),작성안내!$D$4:$E$23,2,FALSE),LEFT(TRIM(B45),FIND(" ",TRIM(B45)&amp;" ")-1)))</f>
        <v>서울</v>
      </c>
    </row>
    <row r="46" spans="1:17" ht="25.5" customHeight="1">
      <c r="A46" s="14" t="s">
        <v>233</v>
      </c>
      <c r="B46" s="14" t="s">
        <v>232</v>
      </c>
      <c r="C46" s="14" t="s">
        <v>234</v>
      </c>
      <c r="D46" s="15">
        <v>0</v>
      </c>
      <c r="E46" s="15">
        <v>1</v>
      </c>
      <c r="F46" s="15">
        <v>0</v>
      </c>
      <c r="G46" s="15">
        <v>0</v>
      </c>
      <c r="H46" s="15">
        <v>0</v>
      </c>
      <c r="I46" s="15">
        <v>0</v>
      </c>
      <c r="J46" s="16">
        <v>1</v>
      </c>
      <c r="K46" s="16">
        <v>1</v>
      </c>
      <c r="L46" s="16">
        <v>1</v>
      </c>
      <c r="M46" s="16">
        <v>0</v>
      </c>
      <c r="N46" s="16">
        <v>0</v>
      </c>
      <c r="O46" s="19">
        <v>0</v>
      </c>
      <c r="P46" s="14"/>
      <c r="Q46" s="17" t="str">
        <f>IF(LEN(TRIM(B46))=0,"",IFERROR(VLOOKUP(LEFT(TRIM(B46),FIND(" ",TRIM(B46)&amp;" ")-1),작성안내!$D$4:$E$23,2,FALSE),LEFT(TRIM(B46),FIND(" ",TRIM(B46)&amp;" ")-1)))</f>
        <v>서울</v>
      </c>
    </row>
    <row r="47" spans="1:17" ht="25.5" customHeight="1">
      <c r="A47" s="14" t="s">
        <v>236</v>
      </c>
      <c r="B47" s="14" t="s">
        <v>235</v>
      </c>
      <c r="C47" s="14" t="s">
        <v>237</v>
      </c>
      <c r="D47" s="15">
        <v>0</v>
      </c>
      <c r="E47" s="15">
        <v>0</v>
      </c>
      <c r="F47" s="15">
        <v>0</v>
      </c>
      <c r="G47" s="15">
        <v>1</v>
      </c>
      <c r="H47" s="15">
        <v>0</v>
      </c>
      <c r="I47" s="15">
        <v>0</v>
      </c>
      <c r="J47" s="16">
        <v>1</v>
      </c>
      <c r="K47" s="16">
        <v>1</v>
      </c>
      <c r="L47" s="16">
        <v>0</v>
      </c>
      <c r="M47" s="16">
        <v>0</v>
      </c>
      <c r="N47" s="16">
        <v>0</v>
      </c>
      <c r="O47" s="19">
        <v>0</v>
      </c>
      <c r="P47" s="14"/>
      <c r="Q47" s="17" t="str">
        <f>IF(LEN(TRIM(B47))=0,"",IFERROR(VLOOKUP(LEFT(TRIM(B47),FIND(" ",TRIM(B47)&amp;" ")-1),작성안내!$D$4:$E$23,2,FALSE),LEFT(TRIM(B47),FIND(" ",TRIM(B47)&amp;" ")-1)))</f>
        <v>서울</v>
      </c>
    </row>
    <row r="48" spans="1:17" ht="25.5" customHeight="1">
      <c r="A48" s="14" t="s">
        <v>239</v>
      </c>
      <c r="B48" s="14" t="s">
        <v>238</v>
      </c>
      <c r="C48" s="14" t="s">
        <v>240</v>
      </c>
      <c r="D48" s="15">
        <v>0</v>
      </c>
      <c r="E48" s="15">
        <v>0</v>
      </c>
      <c r="F48" s="15">
        <v>0</v>
      </c>
      <c r="G48" s="15">
        <v>1</v>
      </c>
      <c r="H48" s="15">
        <v>0</v>
      </c>
      <c r="I48" s="15">
        <v>0</v>
      </c>
      <c r="J48" s="16">
        <v>1</v>
      </c>
      <c r="K48" s="16">
        <v>0</v>
      </c>
      <c r="L48" s="16">
        <v>1</v>
      </c>
      <c r="M48" s="16">
        <v>0</v>
      </c>
      <c r="N48" s="16">
        <v>0</v>
      </c>
      <c r="O48" s="19">
        <v>0</v>
      </c>
      <c r="P48" s="14" t="s">
        <v>241</v>
      </c>
      <c r="Q48" s="17" t="str">
        <f>IF(LEN(TRIM(B48))=0,"",IFERROR(VLOOKUP(LEFT(TRIM(B48),FIND(" ",TRIM(B48)&amp;" ")-1),작성안내!$D$4:$E$23,2,FALSE),LEFT(TRIM(B48),FIND(" ",TRIM(B48)&amp;" ")-1)))</f>
        <v>서울</v>
      </c>
    </row>
    <row r="49" spans="1:17" ht="25.5" customHeight="1">
      <c r="A49" s="14" t="s">
        <v>242</v>
      </c>
      <c r="B49" s="14" t="s">
        <v>243</v>
      </c>
      <c r="C49" s="14" t="s">
        <v>244</v>
      </c>
      <c r="D49" s="15">
        <v>0</v>
      </c>
      <c r="E49" s="15">
        <v>0</v>
      </c>
      <c r="F49" s="15">
        <v>0</v>
      </c>
      <c r="G49" s="15">
        <v>1</v>
      </c>
      <c r="H49" s="15">
        <v>0</v>
      </c>
      <c r="I49" s="15">
        <v>0</v>
      </c>
      <c r="J49" s="16">
        <v>0</v>
      </c>
      <c r="K49" s="16">
        <v>1</v>
      </c>
      <c r="L49" s="16">
        <v>0</v>
      </c>
      <c r="M49" s="16">
        <v>0</v>
      </c>
      <c r="N49" s="16">
        <v>0</v>
      </c>
      <c r="O49" s="19">
        <v>0</v>
      </c>
      <c r="P49" s="14"/>
      <c r="Q49" s="17" t="str">
        <f>IF(LEN(TRIM(B49))=0,"",IFERROR(VLOOKUP(LEFT(TRIM(B49),FIND(" ",TRIM(B49)&amp;" ")-1),작성안내!$D$4:$E$23,2,FALSE),LEFT(TRIM(B49),FIND(" ",TRIM(B49)&amp;" ")-1)))</f>
        <v>서울</v>
      </c>
    </row>
    <row r="50" spans="1:17" ht="25.5" customHeight="1">
      <c r="A50" s="14" t="s">
        <v>246</v>
      </c>
      <c r="B50" s="14" t="s">
        <v>245</v>
      </c>
      <c r="C50" s="14" t="s">
        <v>247</v>
      </c>
      <c r="D50" s="15">
        <v>0</v>
      </c>
      <c r="E50" s="15">
        <v>0</v>
      </c>
      <c r="F50" s="15">
        <v>0</v>
      </c>
      <c r="G50" s="15">
        <v>1</v>
      </c>
      <c r="H50" s="15">
        <v>0</v>
      </c>
      <c r="I50" s="15">
        <v>0</v>
      </c>
      <c r="J50" s="16">
        <v>1</v>
      </c>
      <c r="K50" s="16">
        <v>1</v>
      </c>
      <c r="L50" s="16">
        <v>0</v>
      </c>
      <c r="M50" s="16">
        <v>0</v>
      </c>
      <c r="N50" s="16">
        <v>0</v>
      </c>
      <c r="O50" s="19">
        <v>0</v>
      </c>
      <c r="P50" s="14"/>
      <c r="Q50" s="17" t="str">
        <f>IF(LEN(TRIM(B50))=0,"",IFERROR(VLOOKUP(LEFT(TRIM(B50),FIND(" ",TRIM(B50)&amp;" ")-1),작성안내!$D$4:$E$23,2,FALSE),LEFT(TRIM(B50),FIND(" ",TRIM(B50)&amp;" ")-1)))</f>
        <v>서울</v>
      </c>
    </row>
    <row r="51" spans="1:17" ht="25.5" customHeight="1">
      <c r="A51" s="14" t="s">
        <v>251</v>
      </c>
      <c r="B51" s="14" t="s">
        <v>249</v>
      </c>
      <c r="C51" s="14" t="s">
        <v>250</v>
      </c>
      <c r="D51" s="15">
        <v>0</v>
      </c>
      <c r="E51" s="15">
        <v>0</v>
      </c>
      <c r="F51" s="15">
        <v>0</v>
      </c>
      <c r="G51" s="15">
        <v>0</v>
      </c>
      <c r="H51" s="15">
        <v>1</v>
      </c>
      <c r="I51" s="15">
        <v>0</v>
      </c>
      <c r="J51" s="16">
        <v>1</v>
      </c>
      <c r="K51" s="16">
        <v>1</v>
      </c>
      <c r="L51" s="16">
        <v>0</v>
      </c>
      <c r="M51" s="16">
        <v>0</v>
      </c>
      <c r="N51" s="16">
        <v>0</v>
      </c>
      <c r="O51" s="19">
        <v>0</v>
      </c>
      <c r="P51" s="14" t="s">
        <v>248</v>
      </c>
      <c r="Q51" s="17" t="str">
        <f>IF(LEN(TRIM(B51))=0,"",IFERROR(VLOOKUP(LEFT(TRIM(B51),FIND(" ",TRIM(B51)&amp;" ")-1),작성안내!$D$4:$E$23,2,FALSE),LEFT(TRIM(B51),FIND(" ",TRIM(B51)&amp;" ")-1)))</f>
        <v>서울</v>
      </c>
    </row>
    <row r="52" spans="1:17" ht="25.5" customHeight="1">
      <c r="A52" s="14" t="s">
        <v>253</v>
      </c>
      <c r="B52" s="14" t="s">
        <v>252</v>
      </c>
      <c r="C52" s="14" t="s">
        <v>254</v>
      </c>
      <c r="D52" s="15">
        <v>0</v>
      </c>
      <c r="E52" s="15">
        <v>1</v>
      </c>
      <c r="F52" s="15">
        <v>0</v>
      </c>
      <c r="G52" s="15">
        <v>0</v>
      </c>
      <c r="H52" s="15">
        <v>0</v>
      </c>
      <c r="I52" s="15">
        <v>0</v>
      </c>
      <c r="J52" s="16">
        <v>0</v>
      </c>
      <c r="K52" s="16">
        <v>1</v>
      </c>
      <c r="L52" s="16">
        <v>1</v>
      </c>
      <c r="M52" s="16">
        <v>0</v>
      </c>
      <c r="N52" s="16">
        <v>0</v>
      </c>
      <c r="O52" s="19">
        <v>0</v>
      </c>
      <c r="P52" s="14"/>
      <c r="Q52" s="17" t="str">
        <f>IF(LEN(TRIM(B52))=0,"",IFERROR(VLOOKUP(LEFT(TRIM(B52),FIND(" ",TRIM(B52)&amp;" ")-1),작성안내!$D$4:$E$23,2,FALSE),LEFT(TRIM(B52),FIND(" ",TRIM(B52)&amp;" ")-1)))</f>
        <v>서울</v>
      </c>
    </row>
    <row r="53" spans="1:17" ht="25.5" customHeight="1">
      <c r="A53" s="14" t="s">
        <v>256</v>
      </c>
      <c r="B53" s="14" t="s">
        <v>255</v>
      </c>
      <c r="C53" s="14" t="s">
        <v>257</v>
      </c>
      <c r="D53" s="15">
        <v>0</v>
      </c>
      <c r="E53" s="15">
        <v>0</v>
      </c>
      <c r="F53" s="15">
        <v>0</v>
      </c>
      <c r="G53" s="15">
        <v>0</v>
      </c>
      <c r="H53" s="15">
        <v>1</v>
      </c>
      <c r="I53" s="15">
        <v>0</v>
      </c>
      <c r="J53" s="16">
        <v>1</v>
      </c>
      <c r="K53" s="16">
        <v>1</v>
      </c>
      <c r="L53" s="16">
        <v>0</v>
      </c>
      <c r="M53" s="16">
        <v>0</v>
      </c>
      <c r="N53" s="16">
        <v>0</v>
      </c>
      <c r="O53" s="19">
        <v>0</v>
      </c>
      <c r="P53" s="14" t="s">
        <v>262</v>
      </c>
      <c r="Q53" s="17" t="str">
        <f>IF(LEN(TRIM(B53))=0,"",IFERROR(VLOOKUP(LEFT(TRIM(B53),FIND(" ",TRIM(B53)&amp;" ")-1),작성안내!$D$4:$E$23,2,FALSE),LEFT(TRIM(B53),FIND(" ",TRIM(B53)&amp;" ")-1)))</f>
        <v>서울</v>
      </c>
    </row>
    <row r="54" spans="1:17" ht="25.5" customHeight="1">
      <c r="A54" s="14" t="s">
        <v>259</v>
      </c>
      <c r="B54" s="14" t="s">
        <v>258</v>
      </c>
      <c r="C54" s="14" t="s">
        <v>260</v>
      </c>
      <c r="D54" s="15">
        <v>0</v>
      </c>
      <c r="E54" s="15">
        <v>0</v>
      </c>
      <c r="F54" s="15">
        <v>0</v>
      </c>
      <c r="G54" s="15">
        <v>1</v>
      </c>
      <c r="H54" s="15">
        <v>1</v>
      </c>
      <c r="I54" s="15">
        <v>0</v>
      </c>
      <c r="J54" s="16">
        <v>1</v>
      </c>
      <c r="K54" s="16">
        <v>1</v>
      </c>
      <c r="L54" s="16">
        <v>1</v>
      </c>
      <c r="M54" s="16">
        <v>0</v>
      </c>
      <c r="N54" s="16">
        <v>0</v>
      </c>
      <c r="O54" s="19">
        <v>0</v>
      </c>
      <c r="P54" s="14" t="s">
        <v>261</v>
      </c>
      <c r="Q54" s="17" t="str">
        <f>IF(LEN(TRIM(B54))=0,"",IFERROR(VLOOKUP(LEFT(TRIM(B54),FIND(" ",TRIM(B54)&amp;" ")-1),작성안내!$D$4:$E$23,2,FALSE),LEFT(TRIM(B54),FIND(" ",TRIM(B54)&amp;" ")-1)))</f>
        <v>서울</v>
      </c>
    </row>
    <row r="55" spans="1:17" ht="25.5" customHeight="1">
      <c r="A55" s="14" t="s">
        <v>264</v>
      </c>
      <c r="B55" s="14" t="s">
        <v>263</v>
      </c>
      <c r="C55" s="14" t="s">
        <v>265</v>
      </c>
      <c r="D55" s="15">
        <v>0</v>
      </c>
      <c r="E55" s="15">
        <v>1</v>
      </c>
      <c r="F55" s="15">
        <v>0</v>
      </c>
      <c r="G55" s="15">
        <v>0</v>
      </c>
      <c r="H55" s="15">
        <v>0</v>
      </c>
      <c r="I55" s="15">
        <v>0</v>
      </c>
      <c r="J55" s="16">
        <v>0</v>
      </c>
      <c r="K55" s="16">
        <v>0</v>
      </c>
      <c r="L55" s="16">
        <v>1</v>
      </c>
      <c r="M55" s="16">
        <v>0</v>
      </c>
      <c r="N55" s="16">
        <v>0</v>
      </c>
      <c r="O55" s="19">
        <v>0</v>
      </c>
      <c r="P55" s="14" t="s">
        <v>266</v>
      </c>
      <c r="Q55" s="17" t="str">
        <f>IF(LEN(TRIM(B55))=0,"",IFERROR(VLOOKUP(LEFT(TRIM(B55),FIND(" ",TRIM(B55)&amp;" ")-1),작성안내!$D$4:$E$23,2,FALSE),LEFT(TRIM(B55),FIND(" ",TRIM(B55)&amp;" ")-1)))</f>
        <v>서울</v>
      </c>
    </row>
    <row r="56" spans="1:17" ht="25.5" customHeight="1">
      <c r="A56" s="14" t="s">
        <v>268</v>
      </c>
      <c r="B56" s="14" t="s">
        <v>267</v>
      </c>
      <c r="C56" s="14" t="s">
        <v>269</v>
      </c>
      <c r="D56" s="15">
        <v>0</v>
      </c>
      <c r="E56" s="15">
        <v>0</v>
      </c>
      <c r="F56" s="15">
        <v>0</v>
      </c>
      <c r="G56" s="15">
        <v>0</v>
      </c>
      <c r="H56" s="15">
        <v>1</v>
      </c>
      <c r="I56" s="15">
        <v>0</v>
      </c>
      <c r="J56" s="16">
        <v>1</v>
      </c>
      <c r="K56" s="16">
        <v>1</v>
      </c>
      <c r="L56" s="16">
        <v>0</v>
      </c>
      <c r="M56" s="16">
        <v>0</v>
      </c>
      <c r="N56" s="16">
        <v>0</v>
      </c>
      <c r="O56" s="19">
        <v>0</v>
      </c>
      <c r="P56" s="14" t="s">
        <v>273</v>
      </c>
      <c r="Q56" s="17" t="str">
        <f>IF(LEN(TRIM(B56))=0,"",IFERROR(VLOOKUP(LEFT(TRIM(B56),FIND(" ",TRIM(B56)&amp;" ")-1),작성안내!$D$4:$E$23,2,FALSE),LEFT(TRIM(B56),FIND(" ",TRIM(B56)&amp;" ")-1)))</f>
        <v>서울</v>
      </c>
    </row>
    <row r="57" spans="1:17" ht="25.5" customHeight="1">
      <c r="A57" s="14" t="s">
        <v>271</v>
      </c>
      <c r="B57" s="14" t="s">
        <v>270</v>
      </c>
      <c r="C57" s="14" t="s">
        <v>272</v>
      </c>
      <c r="D57" s="15">
        <v>0</v>
      </c>
      <c r="E57" s="15">
        <v>0</v>
      </c>
      <c r="F57" s="15">
        <v>0</v>
      </c>
      <c r="G57" s="15">
        <v>1</v>
      </c>
      <c r="H57" s="15">
        <v>1</v>
      </c>
      <c r="I57" s="15">
        <v>0</v>
      </c>
      <c r="J57" s="16">
        <v>1</v>
      </c>
      <c r="K57" s="16">
        <v>1</v>
      </c>
      <c r="L57" s="16">
        <v>0</v>
      </c>
      <c r="M57" s="16">
        <v>0</v>
      </c>
      <c r="N57" s="16">
        <v>0</v>
      </c>
      <c r="O57" s="19">
        <v>0</v>
      </c>
      <c r="P57" s="14"/>
      <c r="Q57" s="17" t="str">
        <f>IF(LEN(TRIM(B57))=0,"",IFERROR(VLOOKUP(LEFT(TRIM(B57),FIND(" ",TRIM(B57)&amp;" ")-1),작성안내!$D$4:$E$23,2,FALSE),LEFT(TRIM(B57),FIND(" ",TRIM(B57)&amp;" ")-1)))</f>
        <v>서울</v>
      </c>
    </row>
    <row r="58" spans="1:17" ht="25.5" customHeight="1">
      <c r="A58" s="14" t="s">
        <v>275</v>
      </c>
      <c r="B58" s="14" t="s">
        <v>276</v>
      </c>
      <c r="C58" s="14" t="s">
        <v>277</v>
      </c>
      <c r="D58" s="15">
        <v>0</v>
      </c>
      <c r="E58" s="15">
        <v>0</v>
      </c>
      <c r="F58" s="15">
        <v>0</v>
      </c>
      <c r="G58" s="15">
        <v>0</v>
      </c>
      <c r="H58" s="15">
        <v>1</v>
      </c>
      <c r="I58" s="15">
        <v>0</v>
      </c>
      <c r="J58" s="16">
        <v>1</v>
      </c>
      <c r="K58" s="16">
        <v>1</v>
      </c>
      <c r="L58" s="16">
        <v>1</v>
      </c>
      <c r="M58" s="16">
        <v>0</v>
      </c>
      <c r="N58" s="16">
        <v>0</v>
      </c>
      <c r="O58" s="19">
        <v>0</v>
      </c>
      <c r="P58" s="14" t="s">
        <v>274</v>
      </c>
      <c r="Q58" s="17" t="str">
        <f>IF(LEN(TRIM(B58))=0,"",IFERROR(VLOOKUP(LEFT(TRIM(B58),FIND(" ",TRIM(B58)&amp;" ")-1),작성안내!$D$4:$E$23,2,FALSE),LEFT(TRIM(B58),FIND(" ",TRIM(B58)&amp;" ")-1)))</f>
        <v>서울</v>
      </c>
    </row>
    <row r="59" spans="1:17" ht="25.5" customHeight="1">
      <c r="A59" s="14" t="s">
        <v>280</v>
      </c>
      <c r="B59" s="14" t="s">
        <v>279</v>
      </c>
      <c r="C59" s="14" t="s">
        <v>281</v>
      </c>
      <c r="D59" s="15">
        <v>0</v>
      </c>
      <c r="E59" s="15">
        <v>0</v>
      </c>
      <c r="F59" s="15">
        <v>0</v>
      </c>
      <c r="G59" s="15">
        <v>0</v>
      </c>
      <c r="H59" s="15">
        <v>1</v>
      </c>
      <c r="I59" s="15">
        <v>0</v>
      </c>
      <c r="J59" s="16">
        <v>1</v>
      </c>
      <c r="K59" s="16">
        <v>0</v>
      </c>
      <c r="L59" s="16">
        <v>1</v>
      </c>
      <c r="M59" s="16">
        <v>0</v>
      </c>
      <c r="N59" s="16">
        <v>0</v>
      </c>
      <c r="O59" s="19">
        <v>0</v>
      </c>
      <c r="P59" s="14" t="s">
        <v>278</v>
      </c>
      <c r="Q59" s="17" t="str">
        <f>IF(LEN(TRIM(B59))=0,"",IFERROR(VLOOKUP(LEFT(TRIM(B59),FIND(" ",TRIM(B59)&amp;" ")-1),작성안내!$D$4:$E$23,2,FALSE),LEFT(TRIM(B59),FIND(" ",TRIM(B59)&amp;" ")-1)))</f>
        <v>서울</v>
      </c>
    </row>
    <row r="60" spans="1:17" ht="25.5" customHeight="1">
      <c r="A60" s="14" t="s">
        <v>284</v>
      </c>
      <c r="B60" s="14" t="s">
        <v>283</v>
      </c>
      <c r="C60" s="14" t="s">
        <v>285</v>
      </c>
      <c r="D60" s="15">
        <v>0</v>
      </c>
      <c r="E60" s="15">
        <v>0</v>
      </c>
      <c r="F60" s="15">
        <v>0</v>
      </c>
      <c r="G60" s="15">
        <v>0</v>
      </c>
      <c r="H60" s="15">
        <v>1</v>
      </c>
      <c r="I60" s="15">
        <v>0</v>
      </c>
      <c r="J60" s="16">
        <v>1</v>
      </c>
      <c r="K60" s="16">
        <v>1</v>
      </c>
      <c r="L60" s="16">
        <v>0</v>
      </c>
      <c r="M60" s="16">
        <v>0</v>
      </c>
      <c r="N60" s="16">
        <v>0</v>
      </c>
      <c r="O60" s="19">
        <v>0</v>
      </c>
      <c r="P60" s="14" t="s">
        <v>282</v>
      </c>
      <c r="Q60" s="17" t="str">
        <f>IF(LEN(TRIM(B60))=0,"",IFERROR(VLOOKUP(LEFT(TRIM(B60),FIND(" ",TRIM(B60)&amp;" ")-1),작성안내!$D$4:$E$23,2,FALSE),LEFT(TRIM(B60),FIND(" ",TRIM(B60)&amp;" ")-1)))</f>
        <v>서울</v>
      </c>
    </row>
    <row r="61" spans="1:17" ht="25.5" customHeight="1">
      <c r="A61" s="14" t="s">
        <v>288</v>
      </c>
      <c r="B61" s="14" t="s">
        <v>287</v>
      </c>
      <c r="C61" s="14" t="s">
        <v>289</v>
      </c>
      <c r="D61" s="15">
        <v>0</v>
      </c>
      <c r="E61" s="15">
        <v>0</v>
      </c>
      <c r="F61" s="15">
        <v>0</v>
      </c>
      <c r="G61" s="15">
        <v>1</v>
      </c>
      <c r="H61" s="15">
        <v>0</v>
      </c>
      <c r="I61" s="15">
        <v>0</v>
      </c>
      <c r="J61" s="16">
        <v>0</v>
      </c>
      <c r="K61" s="16">
        <v>0</v>
      </c>
      <c r="L61" s="16">
        <v>1</v>
      </c>
      <c r="M61" s="16">
        <v>0</v>
      </c>
      <c r="N61" s="16">
        <v>0</v>
      </c>
      <c r="O61" s="19">
        <v>0</v>
      </c>
      <c r="P61" s="14" t="s">
        <v>286</v>
      </c>
      <c r="Q61" s="17" t="str">
        <f>IF(LEN(TRIM(B61))=0,"",IFERROR(VLOOKUP(LEFT(TRIM(B61),FIND(" ",TRIM(B61)&amp;" ")-1),작성안내!$D$4:$E$23,2,FALSE),LEFT(TRIM(B61),FIND(" ",TRIM(B61)&amp;" ")-1)))</f>
        <v>서울</v>
      </c>
    </row>
    <row r="62" spans="1:17" ht="25.5" customHeight="1">
      <c r="A62" s="14" t="s">
        <v>291</v>
      </c>
      <c r="B62" s="14" t="s">
        <v>290</v>
      </c>
      <c r="C62" s="14" t="s">
        <v>292</v>
      </c>
      <c r="D62" s="15">
        <v>0</v>
      </c>
      <c r="E62" s="15">
        <v>0</v>
      </c>
      <c r="F62" s="15">
        <v>0</v>
      </c>
      <c r="G62" s="15">
        <v>1</v>
      </c>
      <c r="H62" s="15">
        <v>0</v>
      </c>
      <c r="I62" s="15">
        <v>0</v>
      </c>
      <c r="J62" s="16">
        <v>0</v>
      </c>
      <c r="K62" s="16">
        <v>0</v>
      </c>
      <c r="L62" s="16">
        <v>1</v>
      </c>
      <c r="M62" s="16">
        <v>0</v>
      </c>
      <c r="N62" s="16">
        <v>0</v>
      </c>
      <c r="O62" s="19">
        <v>0</v>
      </c>
      <c r="P62" s="14" t="s">
        <v>286</v>
      </c>
      <c r="Q62" s="17" t="str">
        <f>IF(LEN(TRIM(B62))=0,"",IFERROR(VLOOKUP(LEFT(TRIM(B62),FIND(" ",TRIM(B62)&amp;" ")-1),작성안내!$D$4:$E$23,2,FALSE),LEFT(TRIM(B62),FIND(" ",TRIM(B62)&amp;" ")-1)))</f>
        <v>서울</v>
      </c>
    </row>
    <row r="63" spans="1:17" ht="25.5" customHeight="1">
      <c r="A63" s="14" t="s">
        <v>294</v>
      </c>
      <c r="B63" s="14" t="s">
        <v>293</v>
      </c>
      <c r="C63" s="14" t="s">
        <v>295</v>
      </c>
      <c r="D63" s="15">
        <v>0</v>
      </c>
      <c r="E63" s="15">
        <v>0</v>
      </c>
      <c r="F63" s="15">
        <v>0</v>
      </c>
      <c r="G63" s="15">
        <v>1</v>
      </c>
      <c r="H63" s="15">
        <v>0</v>
      </c>
      <c r="I63" s="15">
        <v>0</v>
      </c>
      <c r="J63" s="16">
        <v>1</v>
      </c>
      <c r="K63" s="16">
        <v>1</v>
      </c>
      <c r="L63" s="16">
        <v>1</v>
      </c>
      <c r="M63" s="16">
        <v>0</v>
      </c>
      <c r="N63" s="16">
        <v>0</v>
      </c>
      <c r="O63" s="19">
        <v>0</v>
      </c>
      <c r="P63" s="14"/>
      <c r="Q63" s="17" t="str">
        <f>IF(LEN(TRIM(B63))=0,"",IFERROR(VLOOKUP(LEFT(TRIM(B63),FIND(" ",TRIM(B63)&amp;" ")-1),작성안내!$D$4:$E$23,2,FALSE),LEFT(TRIM(B63),FIND(" ",TRIM(B63)&amp;" ")-1)))</f>
        <v>서울</v>
      </c>
    </row>
    <row r="64" spans="1:17" ht="25.5" customHeight="1">
      <c r="A64" s="14" t="s">
        <v>297</v>
      </c>
      <c r="B64" s="14" t="s">
        <v>296</v>
      </c>
      <c r="C64" s="14" t="s">
        <v>298</v>
      </c>
      <c r="D64" s="15">
        <v>0</v>
      </c>
      <c r="E64" s="15">
        <v>0</v>
      </c>
      <c r="F64" s="15">
        <v>0</v>
      </c>
      <c r="G64" s="15">
        <v>0</v>
      </c>
      <c r="H64" s="15">
        <v>1</v>
      </c>
      <c r="I64" s="15">
        <v>0</v>
      </c>
      <c r="J64" s="16">
        <v>0</v>
      </c>
      <c r="K64" s="16">
        <v>1</v>
      </c>
      <c r="L64" s="16">
        <v>0</v>
      </c>
      <c r="M64" s="16">
        <v>0</v>
      </c>
      <c r="N64" s="16">
        <v>0</v>
      </c>
      <c r="O64" s="19">
        <v>0</v>
      </c>
      <c r="P64" s="14"/>
      <c r="Q64" s="17" t="str">
        <f>IF(LEN(TRIM(B64))=0,"",IFERROR(VLOOKUP(LEFT(TRIM(B64),FIND(" ",TRIM(B64)&amp;" ")-1),작성안내!$D$4:$E$23,2,FALSE),LEFT(TRIM(B64),FIND(" ",TRIM(B64)&amp;" ")-1)))</f>
        <v>서울</v>
      </c>
    </row>
    <row r="65" spans="1:17" ht="25.5" customHeight="1">
      <c r="A65" s="14" t="s">
        <v>301</v>
      </c>
      <c r="B65" s="14" t="s">
        <v>300</v>
      </c>
      <c r="C65" s="14" t="s">
        <v>302</v>
      </c>
      <c r="D65" s="15">
        <v>0</v>
      </c>
      <c r="E65" s="15">
        <v>0</v>
      </c>
      <c r="F65" s="15">
        <v>0</v>
      </c>
      <c r="G65" s="15">
        <v>1</v>
      </c>
      <c r="H65" s="15">
        <v>0</v>
      </c>
      <c r="I65" s="15">
        <v>0</v>
      </c>
      <c r="J65" s="16">
        <v>1</v>
      </c>
      <c r="K65" s="16">
        <v>1</v>
      </c>
      <c r="L65" s="16">
        <v>1</v>
      </c>
      <c r="M65" s="16">
        <v>0</v>
      </c>
      <c r="N65" s="16">
        <v>0</v>
      </c>
      <c r="O65" s="19">
        <v>0</v>
      </c>
      <c r="P65" s="14" t="s">
        <v>299</v>
      </c>
      <c r="Q65" s="17" t="str">
        <f>IF(LEN(TRIM(B65))=0,"",IFERROR(VLOOKUP(LEFT(TRIM(B65),FIND(" ",TRIM(B65)&amp;" ")-1),작성안내!$D$4:$E$23,2,FALSE),LEFT(TRIM(B65),FIND(" ",TRIM(B65)&amp;" ")-1)))</f>
        <v>서울</v>
      </c>
    </row>
    <row r="66" spans="1:17" ht="25.5" customHeight="1">
      <c r="A66" s="14" t="s">
        <v>304</v>
      </c>
      <c r="B66" s="14" t="s">
        <v>303</v>
      </c>
      <c r="C66" s="14" t="s">
        <v>305</v>
      </c>
      <c r="D66" s="15">
        <v>0</v>
      </c>
      <c r="E66" s="15">
        <v>1</v>
      </c>
      <c r="F66" s="15">
        <v>0</v>
      </c>
      <c r="G66" s="15">
        <v>0</v>
      </c>
      <c r="H66" s="15">
        <v>0</v>
      </c>
      <c r="I66" s="15">
        <v>0</v>
      </c>
      <c r="J66" s="16">
        <v>1</v>
      </c>
      <c r="K66" s="16">
        <v>1</v>
      </c>
      <c r="L66" s="16">
        <v>1</v>
      </c>
      <c r="M66" s="16">
        <v>0</v>
      </c>
      <c r="N66" s="16">
        <v>0</v>
      </c>
      <c r="O66" s="19">
        <v>0</v>
      </c>
      <c r="P66" s="14"/>
      <c r="Q66" s="17" t="str">
        <f>IF(LEN(TRIM(B66))=0,"",IFERROR(VLOOKUP(LEFT(TRIM(B66),FIND(" ",TRIM(B66)&amp;" ")-1),작성안내!$D$4:$E$23,2,FALSE),LEFT(TRIM(B66),FIND(" ",TRIM(B66)&amp;" ")-1)))</f>
        <v>서울</v>
      </c>
    </row>
    <row r="67" spans="1:17" ht="25.5" customHeight="1">
      <c r="A67" s="14"/>
      <c r="B67" s="14"/>
      <c r="C67" s="14"/>
      <c r="D67" s="15"/>
      <c r="E67" s="15"/>
      <c r="F67" s="15"/>
      <c r="G67" s="15"/>
      <c r="H67" s="15"/>
      <c r="I67" s="15"/>
      <c r="J67" s="16"/>
      <c r="K67" s="16"/>
      <c r="L67" s="16"/>
      <c r="M67" s="16"/>
      <c r="N67" s="16"/>
      <c r="O67" s="19"/>
      <c r="P67" s="14"/>
      <c r="Q67" s="17" t="str">
        <f>IF(LEN(TRIM(B67))=0,"",IFERROR(VLOOKUP(LEFT(TRIM(B67),FIND(" ",TRIM(B67)&amp;" ")-1),작성안내!$D$4:$E$23,2,FALSE),LEFT(TRIM(B67),FIND(" ",TRIM(B67)&amp;" ")-1)))</f>
        <v/>
      </c>
    </row>
    <row r="68" spans="1:17" ht="25.5" customHeight="1">
      <c r="A68" s="14"/>
      <c r="B68" s="14"/>
      <c r="C68" s="14"/>
      <c r="D68" s="15"/>
      <c r="E68" s="15"/>
      <c r="F68" s="15"/>
      <c r="G68" s="15"/>
      <c r="H68" s="15"/>
      <c r="I68" s="15"/>
      <c r="J68" s="16"/>
      <c r="K68" s="16"/>
      <c r="L68" s="16"/>
      <c r="M68" s="16"/>
      <c r="N68" s="16"/>
      <c r="O68" s="19"/>
      <c r="P68" s="14"/>
      <c r="Q68" s="17" t="str">
        <f>IF(LEN(TRIM(B68))=0,"",IFERROR(VLOOKUP(LEFT(TRIM(B68),FIND(" ",TRIM(B68)&amp;" ")-1),작성안내!$D$4:$E$23,2,FALSE),LEFT(TRIM(B68),FIND(" ",TRIM(B68)&amp;" ")-1)))</f>
        <v/>
      </c>
    </row>
    <row r="69" spans="1:17" ht="25.5" customHeight="1">
      <c r="A69" s="14"/>
      <c r="B69" s="14"/>
      <c r="C69" s="14"/>
      <c r="D69" s="15"/>
      <c r="E69" s="15"/>
      <c r="F69" s="15"/>
      <c r="G69" s="15"/>
      <c r="H69" s="15"/>
      <c r="I69" s="15"/>
      <c r="J69" s="16"/>
      <c r="K69" s="16"/>
      <c r="L69" s="16"/>
      <c r="M69" s="16"/>
      <c r="N69" s="16"/>
      <c r="O69" s="19"/>
      <c r="P69" s="14"/>
      <c r="Q69" s="17" t="str">
        <f>IF(LEN(TRIM(B69))=0,"",IFERROR(VLOOKUP(LEFT(TRIM(B69),FIND(" ",TRIM(B69)&amp;" ")-1),작성안내!$D$4:$E$23,2,FALSE),LEFT(TRIM(B69),FIND(" ",TRIM(B69)&amp;" ")-1)))</f>
        <v/>
      </c>
    </row>
    <row r="70" spans="1:17" ht="25.5" customHeight="1">
      <c r="A70" s="14"/>
      <c r="B70" s="14"/>
      <c r="C70" s="14"/>
      <c r="D70" s="15"/>
      <c r="E70" s="15"/>
      <c r="F70" s="15"/>
      <c r="G70" s="15"/>
      <c r="H70" s="15"/>
      <c r="I70" s="15"/>
      <c r="J70" s="16"/>
      <c r="K70" s="16"/>
      <c r="L70" s="16"/>
      <c r="M70" s="16"/>
      <c r="N70" s="16"/>
      <c r="O70" s="19"/>
      <c r="P70" s="14"/>
      <c r="Q70" s="17" t="str">
        <f>IF(LEN(TRIM(B70))=0,"",IFERROR(VLOOKUP(LEFT(TRIM(B70),FIND(" ",TRIM(B70)&amp;" ")-1),작성안내!$D$4:$E$23,2,FALSE),LEFT(TRIM(B70),FIND(" ",TRIM(B70)&amp;" ")-1)))</f>
        <v/>
      </c>
    </row>
    <row r="71" spans="1:17" ht="25.5" customHeight="1">
      <c r="A71" s="14"/>
      <c r="B71" s="14"/>
      <c r="C71" s="14"/>
      <c r="D71" s="15"/>
      <c r="E71" s="15"/>
      <c r="F71" s="15"/>
      <c r="G71" s="15"/>
      <c r="H71" s="15"/>
      <c r="I71" s="15"/>
      <c r="J71" s="16"/>
      <c r="K71" s="16"/>
      <c r="L71" s="16"/>
      <c r="M71" s="16"/>
      <c r="N71" s="16"/>
      <c r="O71" s="19"/>
      <c r="P71" s="14"/>
      <c r="Q71" s="17" t="str">
        <f>IF(LEN(TRIM(B71))=0,"",IFERROR(VLOOKUP(LEFT(TRIM(B71),FIND(" ",TRIM(B71)&amp;" ")-1),작성안내!$D$4:$E$23,2,FALSE),LEFT(TRIM(B71),FIND(" ",TRIM(B71)&amp;" ")-1)))</f>
        <v/>
      </c>
    </row>
    <row r="72" spans="1:17" ht="25.5" customHeight="1">
      <c r="A72" s="14"/>
      <c r="B72" s="14"/>
      <c r="C72" s="14"/>
      <c r="D72" s="15"/>
      <c r="E72" s="15"/>
      <c r="F72" s="15"/>
      <c r="G72" s="15"/>
      <c r="H72" s="15"/>
      <c r="I72" s="15"/>
      <c r="J72" s="16"/>
      <c r="K72" s="16"/>
      <c r="L72" s="16"/>
      <c r="M72" s="16"/>
      <c r="N72" s="16"/>
      <c r="O72" s="19"/>
      <c r="P72" s="14"/>
      <c r="Q72" s="17" t="str">
        <f>IF(LEN(TRIM(B72))=0,"",IFERROR(VLOOKUP(LEFT(TRIM(B72),FIND(" ",TRIM(B72)&amp;" ")-1),작성안내!$D$4:$E$23,2,FALSE),LEFT(TRIM(B72),FIND(" ",TRIM(B72)&amp;" ")-1)))</f>
        <v/>
      </c>
    </row>
    <row r="73" spans="1:17" ht="25.5" customHeight="1">
      <c r="A73" s="14"/>
      <c r="B73" s="14"/>
      <c r="C73" s="14"/>
      <c r="D73" s="15"/>
      <c r="E73" s="15"/>
      <c r="F73" s="15"/>
      <c r="G73" s="15"/>
      <c r="H73" s="15"/>
      <c r="I73" s="15"/>
      <c r="J73" s="16"/>
      <c r="K73" s="16"/>
      <c r="L73" s="16"/>
      <c r="M73" s="16"/>
      <c r="N73" s="16"/>
      <c r="O73" s="19"/>
      <c r="P73" s="14"/>
      <c r="Q73" s="17" t="str">
        <f>IF(LEN(TRIM(B73))=0,"",IFERROR(VLOOKUP(LEFT(TRIM(B73),FIND(" ",TRIM(B73)&amp;" ")-1),작성안내!$D$4:$E$23,2,FALSE),LEFT(TRIM(B73),FIND(" ",TRIM(B73)&amp;" ")-1)))</f>
        <v/>
      </c>
    </row>
    <row r="74" spans="1:17" ht="25.5" customHeight="1">
      <c r="A74" s="14"/>
      <c r="B74" s="14"/>
      <c r="C74" s="14"/>
      <c r="D74" s="15"/>
      <c r="E74" s="15"/>
      <c r="F74" s="15"/>
      <c r="G74" s="15"/>
      <c r="H74" s="15"/>
      <c r="I74" s="15"/>
      <c r="J74" s="16"/>
      <c r="K74" s="16"/>
      <c r="L74" s="16"/>
      <c r="M74" s="16"/>
      <c r="N74" s="16"/>
      <c r="O74" s="19"/>
      <c r="P74" s="14"/>
      <c r="Q74" s="17" t="str">
        <f>IF(LEN(TRIM(B74))=0,"",IFERROR(VLOOKUP(LEFT(TRIM(B74),FIND(" ",TRIM(B74)&amp;" ")-1),작성안내!$D$4:$E$23,2,FALSE),LEFT(TRIM(B74),FIND(" ",TRIM(B74)&amp;" ")-1)))</f>
        <v/>
      </c>
    </row>
    <row r="75" spans="1:17" ht="25.5" customHeight="1">
      <c r="A75" s="14"/>
      <c r="B75" s="14"/>
      <c r="C75" s="14"/>
      <c r="D75" s="15"/>
      <c r="E75" s="15"/>
      <c r="F75" s="15"/>
      <c r="G75" s="15"/>
      <c r="H75" s="15"/>
      <c r="I75" s="15"/>
      <c r="J75" s="16"/>
      <c r="K75" s="16"/>
      <c r="L75" s="16"/>
      <c r="M75" s="16"/>
      <c r="N75" s="16"/>
      <c r="O75" s="19"/>
      <c r="P75" s="14"/>
      <c r="Q75" s="17" t="str">
        <f>IF(LEN(TRIM(B75))=0,"",IFERROR(VLOOKUP(LEFT(TRIM(B75),FIND(" ",TRIM(B75)&amp;" ")-1),작성안내!$D$4:$E$23,2,FALSE),LEFT(TRIM(B75),FIND(" ",TRIM(B75)&amp;" ")-1)))</f>
        <v/>
      </c>
    </row>
    <row r="76" spans="1:17" ht="25.5" customHeight="1">
      <c r="A76" s="14"/>
      <c r="B76" s="14"/>
      <c r="C76" s="14"/>
      <c r="D76" s="15"/>
      <c r="E76" s="15"/>
      <c r="F76" s="15"/>
      <c r="G76" s="15"/>
      <c r="H76" s="15"/>
      <c r="I76" s="15"/>
      <c r="J76" s="16"/>
      <c r="K76" s="16"/>
      <c r="L76" s="16"/>
      <c r="M76" s="16"/>
      <c r="N76" s="16"/>
      <c r="O76" s="19"/>
      <c r="P76" s="14"/>
      <c r="Q76" s="17" t="str">
        <f>IF(LEN(TRIM(B76))=0,"",IFERROR(VLOOKUP(LEFT(TRIM(B76),FIND(" ",TRIM(B76)&amp;" ")-1),작성안내!$D$4:$E$23,2,FALSE),LEFT(TRIM(B76),FIND(" ",TRIM(B76)&amp;" ")-1)))</f>
        <v/>
      </c>
    </row>
    <row r="77" spans="1:17" ht="25.5" customHeight="1">
      <c r="A77" s="14"/>
      <c r="B77" s="14"/>
      <c r="C77" s="14"/>
      <c r="D77" s="15"/>
      <c r="E77" s="15"/>
      <c r="F77" s="15"/>
      <c r="G77" s="15"/>
      <c r="H77" s="15"/>
      <c r="I77" s="15"/>
      <c r="J77" s="16"/>
      <c r="K77" s="16"/>
      <c r="L77" s="16"/>
      <c r="M77" s="16"/>
      <c r="N77" s="16"/>
      <c r="O77" s="19"/>
      <c r="P77" s="14"/>
      <c r="Q77" s="17" t="str">
        <f>IF(LEN(TRIM(B77))=0,"",IFERROR(VLOOKUP(LEFT(TRIM(B77),FIND(" ",TRIM(B77)&amp;" ")-1),작성안내!$D$4:$E$23,2,FALSE),LEFT(TRIM(B77),FIND(" ",TRIM(B77)&amp;" ")-1)))</f>
        <v/>
      </c>
    </row>
    <row r="78" spans="1:17" ht="25.5" customHeight="1">
      <c r="A78" s="14"/>
      <c r="B78" s="14"/>
      <c r="C78" s="14"/>
      <c r="D78" s="15"/>
      <c r="E78" s="15"/>
      <c r="F78" s="15"/>
      <c r="G78" s="15"/>
      <c r="H78" s="15"/>
      <c r="I78" s="15"/>
      <c r="J78" s="16"/>
      <c r="K78" s="16"/>
      <c r="L78" s="16"/>
      <c r="M78" s="16"/>
      <c r="N78" s="16"/>
      <c r="O78" s="19"/>
      <c r="P78" s="14"/>
      <c r="Q78" s="17" t="str">
        <f>IF(LEN(TRIM(B78))=0,"",IFERROR(VLOOKUP(LEFT(TRIM(B78),FIND(" ",TRIM(B78)&amp;" ")-1),작성안내!$D$4:$E$23,2,FALSE),LEFT(TRIM(B78),FIND(" ",TRIM(B78)&amp;" ")-1)))</f>
        <v/>
      </c>
    </row>
    <row r="79" spans="1:17" ht="25.5" customHeight="1">
      <c r="A79" s="14"/>
      <c r="B79" s="14"/>
      <c r="C79" s="14"/>
      <c r="D79" s="15"/>
      <c r="E79" s="15"/>
      <c r="F79" s="15"/>
      <c r="G79" s="15"/>
      <c r="H79" s="15"/>
      <c r="I79" s="15"/>
      <c r="J79" s="16"/>
      <c r="K79" s="16"/>
      <c r="L79" s="16"/>
      <c r="M79" s="16"/>
      <c r="N79" s="16"/>
      <c r="O79" s="19"/>
      <c r="P79" s="14"/>
      <c r="Q79" s="17" t="str">
        <f>IF(LEN(TRIM(B79))=0,"",IFERROR(VLOOKUP(LEFT(TRIM(B79),FIND(" ",TRIM(B79)&amp;" ")-1),작성안내!$D$4:$E$23,2,FALSE),LEFT(TRIM(B79),FIND(" ",TRIM(B79)&amp;" ")-1)))</f>
        <v/>
      </c>
    </row>
    <row r="80" spans="1:17" ht="25.5" customHeight="1">
      <c r="A80" s="14"/>
      <c r="B80" s="14"/>
      <c r="C80" s="14"/>
      <c r="D80" s="15"/>
      <c r="E80" s="15"/>
      <c r="F80" s="15"/>
      <c r="G80" s="15"/>
      <c r="H80" s="15"/>
      <c r="I80" s="15"/>
      <c r="J80" s="16"/>
      <c r="K80" s="16"/>
      <c r="L80" s="16"/>
      <c r="M80" s="16"/>
      <c r="N80" s="16"/>
      <c r="O80" s="19"/>
      <c r="P80" s="14"/>
      <c r="Q80" s="17" t="str">
        <f>IF(LEN(TRIM(B80))=0,"",IFERROR(VLOOKUP(LEFT(TRIM(B80),FIND(" ",TRIM(B80)&amp;" ")-1),작성안내!$D$4:$E$23,2,FALSE),LEFT(TRIM(B80),FIND(" ",TRIM(B80)&amp;" ")-1)))</f>
        <v/>
      </c>
    </row>
    <row r="81" spans="1:17" ht="25.5" customHeight="1">
      <c r="A81" s="14"/>
      <c r="B81" s="14"/>
      <c r="C81" s="14"/>
      <c r="D81" s="15"/>
      <c r="E81" s="15"/>
      <c r="F81" s="15"/>
      <c r="G81" s="15"/>
      <c r="H81" s="15"/>
      <c r="I81" s="15"/>
      <c r="J81" s="16"/>
      <c r="K81" s="16"/>
      <c r="L81" s="16"/>
      <c r="M81" s="16"/>
      <c r="N81" s="16"/>
      <c r="O81" s="19"/>
      <c r="P81" s="14"/>
      <c r="Q81" s="17" t="str">
        <f>IF(LEN(TRIM(B81))=0,"",IFERROR(VLOOKUP(LEFT(TRIM(B81),FIND(" ",TRIM(B81)&amp;" ")-1),작성안내!$D$4:$E$23,2,FALSE),LEFT(TRIM(B81),FIND(" ",TRIM(B81)&amp;" ")-1)))</f>
        <v/>
      </c>
    </row>
    <row r="82" spans="1:17" ht="25.5" customHeight="1">
      <c r="A82" s="14"/>
      <c r="B82" s="14"/>
      <c r="C82" s="14"/>
      <c r="D82" s="15"/>
      <c r="E82" s="15"/>
      <c r="F82" s="15"/>
      <c r="G82" s="15"/>
      <c r="H82" s="15"/>
      <c r="I82" s="15"/>
      <c r="J82" s="16"/>
      <c r="K82" s="16"/>
      <c r="L82" s="16"/>
      <c r="M82" s="16"/>
      <c r="N82" s="16"/>
      <c r="O82" s="19"/>
      <c r="P82" s="14"/>
      <c r="Q82" s="17" t="str">
        <f>IF(LEN(TRIM(B82))=0,"",IFERROR(VLOOKUP(LEFT(TRIM(B82),FIND(" ",TRIM(B82)&amp;" ")-1),작성안내!$D$4:$E$23,2,FALSE),LEFT(TRIM(B82),FIND(" ",TRIM(B82)&amp;" ")-1)))</f>
        <v/>
      </c>
    </row>
    <row r="83" spans="1:17" ht="25.5" customHeight="1">
      <c r="A83" s="14"/>
      <c r="B83" s="14"/>
      <c r="C83" s="14"/>
      <c r="D83" s="15"/>
      <c r="E83" s="15"/>
      <c r="F83" s="15"/>
      <c r="G83" s="15"/>
      <c r="H83" s="15"/>
      <c r="I83" s="15"/>
      <c r="J83" s="16"/>
      <c r="K83" s="16"/>
      <c r="L83" s="16"/>
      <c r="M83" s="16"/>
      <c r="N83" s="16"/>
      <c r="O83" s="19"/>
      <c r="P83" s="14"/>
      <c r="Q83" s="17" t="str">
        <f>IF(LEN(TRIM(B83))=0,"",IFERROR(VLOOKUP(LEFT(TRIM(B83),FIND(" ",TRIM(B83)&amp;" ")-1),작성안내!$D$4:$E$23,2,FALSE),LEFT(TRIM(B83),FIND(" ",TRIM(B83)&amp;" ")-1)))</f>
        <v/>
      </c>
    </row>
    <row r="84" spans="1:17" ht="25.5" customHeight="1">
      <c r="A84" s="14"/>
      <c r="B84" s="14"/>
      <c r="C84" s="14"/>
      <c r="D84" s="15"/>
      <c r="E84" s="15"/>
      <c r="F84" s="15"/>
      <c r="G84" s="15"/>
      <c r="H84" s="15"/>
      <c r="I84" s="15"/>
      <c r="J84" s="16"/>
      <c r="K84" s="16"/>
      <c r="L84" s="16"/>
      <c r="M84" s="16"/>
      <c r="N84" s="16"/>
      <c r="O84" s="19"/>
      <c r="P84" s="14"/>
      <c r="Q84" s="17" t="str">
        <f>IF(LEN(TRIM(B84))=0,"",IFERROR(VLOOKUP(LEFT(TRIM(B84),FIND(" ",TRIM(B84)&amp;" ")-1),작성안내!$D$4:$E$23,2,FALSE),LEFT(TRIM(B84),FIND(" ",TRIM(B84)&amp;" ")-1)))</f>
        <v/>
      </c>
    </row>
    <row r="85" spans="1:17" ht="25.5" customHeight="1">
      <c r="A85" s="14"/>
      <c r="B85" s="14"/>
      <c r="C85" s="14"/>
      <c r="D85" s="15"/>
      <c r="E85" s="15"/>
      <c r="F85" s="15"/>
      <c r="G85" s="15"/>
      <c r="H85" s="15"/>
      <c r="I85" s="15"/>
      <c r="J85" s="16"/>
      <c r="K85" s="16"/>
      <c r="L85" s="16"/>
      <c r="M85" s="16"/>
      <c r="N85" s="16"/>
      <c r="O85" s="19"/>
      <c r="P85" s="14"/>
      <c r="Q85" s="17" t="str">
        <f>IF(LEN(TRIM(B85))=0,"",IFERROR(VLOOKUP(LEFT(TRIM(B85),FIND(" ",TRIM(B85)&amp;" ")-1),작성안내!$D$4:$E$23,2,FALSE),LEFT(TRIM(B85),FIND(" ",TRIM(B85)&amp;" ")-1)))</f>
        <v/>
      </c>
    </row>
    <row r="86" spans="1:17" ht="25.5" customHeight="1">
      <c r="A86" s="14"/>
      <c r="B86" s="14"/>
      <c r="C86" s="14"/>
      <c r="D86" s="15"/>
      <c r="E86" s="15"/>
      <c r="F86" s="15"/>
      <c r="G86" s="15"/>
      <c r="H86" s="15"/>
      <c r="I86" s="15"/>
      <c r="J86" s="16"/>
      <c r="K86" s="16"/>
      <c r="L86" s="16"/>
      <c r="M86" s="16"/>
      <c r="N86" s="16"/>
      <c r="O86" s="19"/>
      <c r="P86" s="14"/>
      <c r="Q86" s="17" t="str">
        <f>IF(LEN(TRIM(B86))=0,"",IFERROR(VLOOKUP(LEFT(TRIM(B86),FIND(" ",TRIM(B86)&amp;" ")-1),작성안내!$D$4:$E$23,2,FALSE),LEFT(TRIM(B86),FIND(" ",TRIM(B86)&amp;" ")-1)))</f>
        <v/>
      </c>
    </row>
    <row r="87" spans="1:17" ht="25.5" customHeight="1">
      <c r="A87" s="14"/>
      <c r="B87" s="14"/>
      <c r="C87" s="14"/>
      <c r="D87" s="15"/>
      <c r="E87" s="15"/>
      <c r="F87" s="15"/>
      <c r="G87" s="15"/>
      <c r="H87" s="15"/>
      <c r="I87" s="15"/>
      <c r="J87" s="16"/>
      <c r="K87" s="16"/>
      <c r="L87" s="16"/>
      <c r="M87" s="16"/>
      <c r="N87" s="16"/>
      <c r="O87" s="19"/>
      <c r="P87" s="14"/>
      <c r="Q87" s="17" t="str">
        <f>IF(LEN(TRIM(B87))=0,"",IFERROR(VLOOKUP(LEFT(TRIM(B87),FIND(" ",TRIM(B87)&amp;" ")-1),작성안내!$D$4:$E$23,2,FALSE),LEFT(TRIM(B87),FIND(" ",TRIM(B87)&amp;" ")-1)))</f>
        <v/>
      </c>
    </row>
    <row r="88" spans="1:17" ht="25.5" customHeight="1">
      <c r="A88" s="14"/>
      <c r="B88" s="14"/>
      <c r="C88" s="14"/>
      <c r="D88" s="15"/>
      <c r="E88" s="15"/>
      <c r="F88" s="15"/>
      <c r="G88" s="15"/>
      <c r="H88" s="15"/>
      <c r="I88" s="15"/>
      <c r="J88" s="16"/>
      <c r="K88" s="16"/>
      <c r="L88" s="16"/>
      <c r="M88" s="16"/>
      <c r="N88" s="16"/>
      <c r="O88" s="19"/>
      <c r="P88" s="14"/>
      <c r="Q88" s="17" t="str">
        <f>IF(LEN(TRIM(B88))=0,"",IFERROR(VLOOKUP(LEFT(TRIM(B88),FIND(" ",TRIM(B88)&amp;" ")-1),작성안내!$D$4:$E$23,2,FALSE),LEFT(TRIM(B88),FIND(" ",TRIM(B88)&amp;" ")-1)))</f>
        <v/>
      </c>
    </row>
    <row r="89" spans="1:17" ht="25.5" customHeight="1">
      <c r="A89" s="14"/>
      <c r="B89" s="14"/>
      <c r="C89" s="14"/>
      <c r="D89" s="15"/>
      <c r="E89" s="15"/>
      <c r="F89" s="15"/>
      <c r="G89" s="15"/>
      <c r="H89" s="15"/>
      <c r="I89" s="15"/>
      <c r="J89" s="16"/>
      <c r="K89" s="16"/>
      <c r="L89" s="16"/>
      <c r="M89" s="16"/>
      <c r="N89" s="16"/>
      <c r="O89" s="19"/>
      <c r="P89" s="14"/>
      <c r="Q89" s="17" t="str">
        <f>IF(LEN(TRIM(B89))=0,"",IFERROR(VLOOKUP(LEFT(TRIM(B89),FIND(" ",TRIM(B89)&amp;" ")-1),작성안내!$D$4:$E$23,2,FALSE),LEFT(TRIM(B89),FIND(" ",TRIM(B89)&amp;" ")-1)))</f>
        <v/>
      </c>
    </row>
    <row r="90" spans="1:17" ht="25.5" customHeight="1">
      <c r="A90" s="14"/>
      <c r="B90" s="14"/>
      <c r="C90" s="14"/>
      <c r="D90" s="15"/>
      <c r="E90" s="15"/>
      <c r="F90" s="15"/>
      <c r="G90" s="15"/>
      <c r="H90" s="15"/>
      <c r="I90" s="15"/>
      <c r="J90" s="16"/>
      <c r="K90" s="16"/>
      <c r="L90" s="16"/>
      <c r="M90" s="16"/>
      <c r="N90" s="16"/>
      <c r="O90" s="19"/>
      <c r="P90" s="14"/>
      <c r="Q90" s="17" t="str">
        <f>IF(LEN(TRIM(B90))=0,"",IFERROR(VLOOKUP(LEFT(TRIM(B90),FIND(" ",TRIM(B90)&amp;" ")-1),작성안내!$D$4:$E$23,2,FALSE),LEFT(TRIM(B90),FIND(" ",TRIM(B90)&amp;" ")-1)))</f>
        <v/>
      </c>
    </row>
    <row r="91" spans="1:17" ht="25.5" customHeight="1">
      <c r="A91" s="14"/>
      <c r="B91" s="14"/>
      <c r="C91" s="14"/>
      <c r="D91" s="15"/>
      <c r="E91" s="15"/>
      <c r="F91" s="15"/>
      <c r="G91" s="15"/>
      <c r="H91" s="15"/>
      <c r="I91" s="15"/>
      <c r="J91" s="16"/>
      <c r="K91" s="16"/>
      <c r="L91" s="16"/>
      <c r="M91" s="16"/>
      <c r="N91" s="16"/>
      <c r="O91" s="19"/>
      <c r="P91" s="14"/>
      <c r="Q91" s="17" t="str">
        <f>IF(LEN(TRIM(B91))=0,"",IFERROR(VLOOKUP(LEFT(TRIM(B91),FIND(" ",TRIM(B91)&amp;" ")-1),작성안내!$D$4:$E$23,2,FALSE),LEFT(TRIM(B91),FIND(" ",TRIM(B91)&amp;" ")-1)))</f>
        <v/>
      </c>
    </row>
    <row r="92" spans="1:17" ht="25.5" customHeight="1">
      <c r="A92" s="14"/>
      <c r="B92" s="14"/>
      <c r="C92" s="14"/>
      <c r="D92" s="15"/>
      <c r="E92" s="15"/>
      <c r="F92" s="15"/>
      <c r="G92" s="15"/>
      <c r="H92" s="15"/>
      <c r="I92" s="15"/>
      <c r="J92" s="16"/>
      <c r="K92" s="16"/>
      <c r="L92" s="16"/>
      <c r="M92" s="16"/>
      <c r="N92" s="16"/>
      <c r="O92" s="19"/>
      <c r="P92" s="14"/>
      <c r="Q92" s="17" t="str">
        <f>IF(LEN(TRIM(B92))=0,"",IFERROR(VLOOKUP(LEFT(TRIM(B92),FIND(" ",TRIM(B92)&amp;" ")-1),작성안내!$D$4:$E$23,2,FALSE),LEFT(TRIM(B92),FIND(" ",TRIM(B92)&amp;" ")-1)))</f>
        <v/>
      </c>
    </row>
    <row r="93" spans="1:17" ht="25.5" customHeight="1">
      <c r="A93" s="14"/>
      <c r="B93" s="14"/>
      <c r="C93" s="14"/>
      <c r="D93" s="15"/>
      <c r="E93" s="15"/>
      <c r="F93" s="15"/>
      <c r="G93" s="15"/>
      <c r="H93" s="15"/>
      <c r="I93" s="15"/>
      <c r="J93" s="16"/>
      <c r="K93" s="16"/>
      <c r="L93" s="16"/>
      <c r="M93" s="16"/>
      <c r="N93" s="16"/>
      <c r="O93" s="19"/>
      <c r="P93" s="14"/>
      <c r="Q93" s="17" t="str">
        <f>IF(LEN(TRIM(B93))=0,"",IFERROR(VLOOKUP(LEFT(TRIM(B93),FIND(" ",TRIM(B93)&amp;" ")-1),작성안내!$D$4:$E$23,2,FALSE),LEFT(TRIM(B93),FIND(" ",TRIM(B93)&amp;" ")-1)))</f>
        <v/>
      </c>
    </row>
    <row r="94" spans="1:17" ht="25.5" customHeight="1">
      <c r="A94" s="14"/>
      <c r="B94" s="14"/>
      <c r="C94" s="14"/>
      <c r="D94" s="15"/>
      <c r="E94" s="15"/>
      <c r="F94" s="15"/>
      <c r="G94" s="15"/>
      <c r="H94" s="15"/>
      <c r="I94" s="15"/>
      <c r="J94" s="16"/>
      <c r="K94" s="16"/>
      <c r="L94" s="16"/>
      <c r="M94" s="16"/>
      <c r="N94" s="16"/>
      <c r="O94" s="19"/>
      <c r="P94" s="14"/>
      <c r="Q94" s="17" t="str">
        <f>IF(LEN(TRIM(B94))=0,"",IFERROR(VLOOKUP(LEFT(TRIM(B94),FIND(" ",TRIM(B94)&amp;" ")-1),작성안내!$D$4:$E$23,2,FALSE),LEFT(TRIM(B94),FIND(" ",TRIM(B94)&amp;" ")-1)))</f>
        <v/>
      </c>
    </row>
    <row r="95" spans="1:17" ht="25.5" customHeight="1">
      <c r="A95" s="14"/>
      <c r="B95" s="14"/>
      <c r="C95" s="14"/>
      <c r="D95" s="15"/>
      <c r="E95" s="15"/>
      <c r="F95" s="15"/>
      <c r="G95" s="15"/>
      <c r="H95" s="15"/>
      <c r="I95" s="15"/>
      <c r="J95" s="16"/>
      <c r="K95" s="16"/>
      <c r="L95" s="16"/>
      <c r="M95" s="16"/>
      <c r="N95" s="16"/>
      <c r="O95" s="19"/>
      <c r="P95" s="14"/>
      <c r="Q95" s="17" t="str">
        <f>IF(LEN(TRIM(B95))=0,"",IFERROR(VLOOKUP(LEFT(TRIM(B95),FIND(" ",TRIM(B95)&amp;" ")-1),작성안내!$D$4:$E$23,2,FALSE),LEFT(TRIM(B95),FIND(" ",TRIM(B95)&amp;" ")-1)))</f>
        <v/>
      </c>
    </row>
    <row r="96" spans="1:17" ht="25.5" customHeight="1">
      <c r="A96" s="14"/>
      <c r="B96" s="14"/>
      <c r="C96" s="14"/>
      <c r="D96" s="15"/>
      <c r="E96" s="15"/>
      <c r="F96" s="15"/>
      <c r="G96" s="15"/>
      <c r="H96" s="15"/>
      <c r="I96" s="15"/>
      <c r="J96" s="16"/>
      <c r="K96" s="16"/>
      <c r="L96" s="16"/>
      <c r="M96" s="16"/>
      <c r="N96" s="16"/>
      <c r="O96" s="19"/>
      <c r="P96" s="14"/>
      <c r="Q96" s="17" t="str">
        <f>IF(LEN(TRIM(B96))=0,"",IFERROR(VLOOKUP(LEFT(TRIM(B96),FIND(" ",TRIM(B96)&amp;" ")-1),작성안내!$D$4:$E$23,2,FALSE),LEFT(TRIM(B96),FIND(" ",TRIM(B96)&amp;" ")-1)))</f>
        <v/>
      </c>
    </row>
    <row r="97" spans="1:17" ht="25.5" customHeight="1">
      <c r="A97" s="14"/>
      <c r="B97" s="14"/>
      <c r="C97" s="14"/>
      <c r="D97" s="15"/>
      <c r="E97" s="15"/>
      <c r="F97" s="15"/>
      <c r="G97" s="15"/>
      <c r="H97" s="15"/>
      <c r="I97" s="15"/>
      <c r="J97" s="16"/>
      <c r="K97" s="16"/>
      <c r="L97" s="16"/>
      <c r="M97" s="16"/>
      <c r="N97" s="16"/>
      <c r="O97" s="19"/>
      <c r="P97" s="14"/>
      <c r="Q97" s="17" t="str">
        <f>IF(LEN(TRIM(B97))=0,"",IFERROR(VLOOKUP(LEFT(TRIM(B97),FIND(" ",TRIM(B97)&amp;" ")-1),작성안내!$D$4:$E$23,2,FALSE),LEFT(TRIM(B97),FIND(" ",TRIM(B97)&amp;" ")-1)))</f>
        <v/>
      </c>
    </row>
    <row r="98" spans="1:17" ht="25.5" customHeight="1">
      <c r="A98" s="14"/>
      <c r="B98" s="14"/>
      <c r="C98" s="14"/>
      <c r="D98" s="15"/>
      <c r="E98" s="15"/>
      <c r="F98" s="15"/>
      <c r="G98" s="15"/>
      <c r="H98" s="15"/>
      <c r="I98" s="15"/>
      <c r="J98" s="16"/>
      <c r="K98" s="16"/>
      <c r="L98" s="16"/>
      <c r="M98" s="16"/>
      <c r="N98" s="16"/>
      <c r="O98" s="19"/>
      <c r="P98" s="14"/>
      <c r="Q98" s="17" t="str">
        <f>IF(LEN(TRIM(B98))=0,"",IFERROR(VLOOKUP(LEFT(TRIM(B98),FIND(" ",TRIM(B98)&amp;" ")-1),작성안내!$D$4:$E$23,2,FALSE),LEFT(TRIM(B98),FIND(" ",TRIM(B98)&amp;" ")-1)))</f>
        <v/>
      </c>
    </row>
    <row r="99" spans="1:17" ht="25.5" customHeight="1">
      <c r="A99" s="14"/>
      <c r="B99" s="14"/>
      <c r="C99" s="14"/>
      <c r="D99" s="15"/>
      <c r="E99" s="15"/>
      <c r="F99" s="15"/>
      <c r="G99" s="15"/>
      <c r="H99" s="15"/>
      <c r="I99" s="15"/>
      <c r="J99" s="16"/>
      <c r="K99" s="16"/>
      <c r="L99" s="16"/>
      <c r="M99" s="16"/>
      <c r="N99" s="16"/>
      <c r="O99" s="19"/>
      <c r="P99" s="14"/>
      <c r="Q99" s="17" t="str">
        <f>IF(LEN(TRIM(B99))=0,"",IFERROR(VLOOKUP(LEFT(TRIM(B99),FIND(" ",TRIM(B99)&amp;" ")-1),작성안내!$D$4:$E$23,2,FALSE),LEFT(TRIM(B99),FIND(" ",TRIM(B99)&amp;" ")-1)))</f>
        <v/>
      </c>
    </row>
    <row r="100" spans="1:17" ht="25.5" customHeight="1">
      <c r="A100" s="14"/>
      <c r="B100" s="14"/>
      <c r="C100" s="14"/>
      <c r="D100" s="15"/>
      <c r="E100" s="15"/>
      <c r="F100" s="15"/>
      <c r="G100" s="15"/>
      <c r="H100" s="15"/>
      <c r="I100" s="15"/>
      <c r="J100" s="16"/>
      <c r="K100" s="16"/>
      <c r="L100" s="16"/>
      <c r="M100" s="16"/>
      <c r="N100" s="16"/>
      <c r="O100" s="19"/>
      <c r="P100" s="14"/>
      <c r="Q100" s="17" t="str">
        <f>IF(LEN(TRIM(B100))=0,"",IFERROR(VLOOKUP(LEFT(TRIM(B100),FIND(" ",TRIM(B100)&amp;" ")-1),작성안내!$D$4:$E$23,2,FALSE),LEFT(TRIM(B100),FIND(" ",TRIM(B100)&amp;" ")-1)))</f>
        <v/>
      </c>
    </row>
    <row r="101" spans="1:17" ht="25.5" customHeight="1">
      <c r="A101" s="14"/>
      <c r="B101" s="14"/>
      <c r="C101" s="14"/>
      <c r="D101" s="15"/>
      <c r="E101" s="15"/>
      <c r="F101" s="15"/>
      <c r="G101" s="15"/>
      <c r="H101" s="15"/>
      <c r="I101" s="15"/>
      <c r="J101" s="16"/>
      <c r="K101" s="16"/>
      <c r="L101" s="16"/>
      <c r="M101" s="16"/>
      <c r="N101" s="16"/>
      <c r="O101" s="19"/>
      <c r="P101" s="14"/>
      <c r="Q101" s="17" t="str">
        <f>IF(LEN(TRIM(B101))=0,"",IFERROR(VLOOKUP(LEFT(TRIM(B101),FIND(" ",TRIM(B101)&amp;" ")-1),작성안내!$D$4:$E$23,2,FALSE),LEFT(TRIM(B101),FIND(" ",TRIM(B101)&amp;" ")-1)))</f>
        <v/>
      </c>
    </row>
  </sheetData>
  <phoneticPr fontId="5" type="noConversion"/>
  <dataValidations count="2">
    <dataValidation type="list" sqref="D2:I101">
      <formula1>"1,0,예,아니오"</formula1>
    </dataValidation>
    <dataValidation type="list" sqref="J2:O101">
      <formula1>"1,0,가능,불가,미확인"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showGridLines="0" workbookViewId="0">
      <pane ySplit="2" topLeftCell="A3" activePane="bottomLeft" state="frozen"/>
      <selection pane="bottomLeft"/>
    </sheetView>
  </sheetViews>
  <sheetFormatPr defaultRowHeight="14.25"/>
  <cols>
    <col min="1" max="1" width="21.125" customWidth="1"/>
    <col min="2" max="2" width="87.75" customWidth="1"/>
    <col min="4" max="5" width="23" customWidth="1"/>
  </cols>
  <sheetData>
    <row r="1" spans="1:5" ht="41.25" customHeight="1">
      <c r="A1" s="20" t="s">
        <v>26</v>
      </c>
      <c r="B1" s="20"/>
    </row>
    <row r="2" spans="1:5">
      <c r="A2" s="1"/>
      <c r="B2" s="1"/>
    </row>
    <row r="3" spans="1:5" ht="40.5" customHeight="1">
      <c r="A3" s="3" t="s">
        <v>27</v>
      </c>
      <c r="B3" s="4" t="s">
        <v>28</v>
      </c>
      <c r="D3" s="5" t="s">
        <v>62</v>
      </c>
      <c r="E3" s="5" t="s">
        <v>61</v>
      </c>
    </row>
    <row r="4" spans="1:5" ht="40.5" customHeight="1">
      <c r="A4" s="2" t="s">
        <v>29</v>
      </c>
      <c r="B4" s="1" t="s">
        <v>30</v>
      </c>
      <c r="D4" t="s">
        <v>63</v>
      </c>
      <c r="E4" t="s">
        <v>64</v>
      </c>
    </row>
    <row r="5" spans="1:5" ht="40.5" customHeight="1">
      <c r="A5" s="3" t="s">
        <v>31</v>
      </c>
      <c r="B5" s="4" t="s">
        <v>65</v>
      </c>
      <c r="D5" t="s">
        <v>66</v>
      </c>
      <c r="E5" t="s">
        <v>67</v>
      </c>
    </row>
    <row r="6" spans="1:5" ht="40.5" customHeight="1">
      <c r="A6" s="2" t="s">
        <v>32</v>
      </c>
      <c r="B6" s="1" t="s">
        <v>68</v>
      </c>
      <c r="D6" t="s">
        <v>69</v>
      </c>
      <c r="E6" t="s">
        <v>70</v>
      </c>
    </row>
    <row r="7" spans="1:5" ht="40.5" customHeight="1">
      <c r="A7" s="3" t="s">
        <v>3</v>
      </c>
      <c r="B7" s="4" t="s">
        <v>33</v>
      </c>
      <c r="D7" t="s">
        <v>71</v>
      </c>
      <c r="E7" t="s">
        <v>72</v>
      </c>
    </row>
    <row r="8" spans="1:5" ht="40.5" customHeight="1">
      <c r="A8" s="2" t="s">
        <v>4</v>
      </c>
      <c r="B8" s="1" t="s">
        <v>34</v>
      </c>
      <c r="D8" t="s">
        <v>73</v>
      </c>
      <c r="E8" t="s">
        <v>74</v>
      </c>
    </row>
    <row r="9" spans="1:5" ht="40.5" customHeight="1">
      <c r="A9" s="3" t="s">
        <v>5</v>
      </c>
      <c r="B9" s="4" t="s">
        <v>35</v>
      </c>
      <c r="D9" t="s">
        <v>75</v>
      </c>
      <c r="E9" t="s">
        <v>76</v>
      </c>
    </row>
    <row r="10" spans="1:5" ht="40.5" customHeight="1">
      <c r="A10" s="2" t="s">
        <v>6</v>
      </c>
      <c r="B10" s="1" t="s">
        <v>36</v>
      </c>
      <c r="D10" t="s">
        <v>77</v>
      </c>
      <c r="E10" t="s">
        <v>78</v>
      </c>
    </row>
    <row r="11" spans="1:5" ht="40.5" customHeight="1">
      <c r="A11" s="3" t="s">
        <v>7</v>
      </c>
      <c r="B11" s="4" t="s">
        <v>37</v>
      </c>
      <c r="D11" t="s">
        <v>79</v>
      </c>
      <c r="E11" t="s">
        <v>80</v>
      </c>
    </row>
    <row r="12" spans="1:5" ht="40.5" customHeight="1">
      <c r="A12" s="2" t="s">
        <v>8</v>
      </c>
      <c r="B12" s="1" t="s">
        <v>38</v>
      </c>
      <c r="D12" t="s">
        <v>81</v>
      </c>
      <c r="E12" t="s">
        <v>82</v>
      </c>
    </row>
    <row r="13" spans="1:5" ht="40.5" customHeight="1">
      <c r="A13" s="3" t="s">
        <v>39</v>
      </c>
      <c r="B13" s="4" t="s">
        <v>83</v>
      </c>
      <c r="D13" t="s">
        <v>84</v>
      </c>
      <c r="E13" t="s">
        <v>85</v>
      </c>
    </row>
    <row r="14" spans="1:5" ht="40.5" customHeight="1">
      <c r="A14" s="2" t="s">
        <v>40</v>
      </c>
      <c r="B14" s="1" t="s">
        <v>41</v>
      </c>
      <c r="D14" t="s">
        <v>86</v>
      </c>
      <c r="E14" t="s">
        <v>85</v>
      </c>
    </row>
    <row r="15" spans="1:5" ht="40.5" customHeight="1">
      <c r="A15" s="3" t="s">
        <v>42</v>
      </c>
      <c r="B15" s="4" t="s">
        <v>43</v>
      </c>
      <c r="D15" t="s">
        <v>87</v>
      </c>
      <c r="E15" t="s">
        <v>88</v>
      </c>
    </row>
    <row r="16" spans="1:5" ht="40.5" customHeight="1">
      <c r="A16" s="2" t="s">
        <v>44</v>
      </c>
      <c r="B16" s="1" t="s">
        <v>45</v>
      </c>
      <c r="D16" t="s">
        <v>89</v>
      </c>
      <c r="E16" t="s">
        <v>90</v>
      </c>
    </row>
    <row r="17" spans="1:5" ht="40.5" customHeight="1">
      <c r="A17" s="3" t="s">
        <v>46</v>
      </c>
      <c r="B17" s="4" t="s">
        <v>47</v>
      </c>
      <c r="D17" t="s">
        <v>91</v>
      </c>
      <c r="E17" t="s">
        <v>92</v>
      </c>
    </row>
    <row r="18" spans="1:5" ht="40.5" customHeight="1">
      <c r="A18" s="2" t="s">
        <v>12</v>
      </c>
      <c r="B18" s="1" t="s">
        <v>48</v>
      </c>
      <c r="D18" t="s">
        <v>93</v>
      </c>
      <c r="E18" t="s">
        <v>92</v>
      </c>
    </row>
    <row r="19" spans="1:5" ht="40.5" customHeight="1">
      <c r="A19" s="3" t="s">
        <v>49</v>
      </c>
      <c r="B19" s="4" t="s">
        <v>50</v>
      </c>
      <c r="D19" t="s">
        <v>94</v>
      </c>
      <c r="E19" t="s">
        <v>95</v>
      </c>
    </row>
    <row r="20" spans="1:5" ht="40.5" customHeight="1">
      <c r="A20" s="2" t="s">
        <v>51</v>
      </c>
      <c r="B20" s="1" t="s">
        <v>52</v>
      </c>
      <c r="D20" t="s">
        <v>96</v>
      </c>
      <c r="E20" t="s">
        <v>97</v>
      </c>
    </row>
    <row r="21" spans="1:5" ht="40.5" customHeight="1">
      <c r="A21" s="3" t="s">
        <v>53</v>
      </c>
      <c r="B21" s="4" t="s">
        <v>54</v>
      </c>
      <c r="D21" t="s">
        <v>98</v>
      </c>
      <c r="E21" t="s">
        <v>99</v>
      </c>
    </row>
    <row r="22" spans="1:5" ht="40.5" customHeight="1">
      <c r="A22" s="2" t="s">
        <v>55</v>
      </c>
      <c r="B22" s="1" t="s">
        <v>56</v>
      </c>
      <c r="D22" t="s">
        <v>100</v>
      </c>
      <c r="E22" t="s">
        <v>101</v>
      </c>
    </row>
    <row r="23" spans="1:5" ht="40.5" customHeight="1">
      <c r="A23" s="3" t="s">
        <v>57</v>
      </c>
      <c r="B23" s="4" t="s">
        <v>58</v>
      </c>
      <c r="D23" t="s">
        <v>102</v>
      </c>
      <c r="E23" t="s">
        <v>101</v>
      </c>
    </row>
    <row r="24" spans="1:5" ht="40.5" customHeight="1">
      <c r="A24" s="2" t="s">
        <v>59</v>
      </c>
      <c r="B24" s="1" t="s">
        <v>60</v>
      </c>
    </row>
    <row r="25" spans="1:5" ht="42" customHeight="1">
      <c r="A25" s="6" t="s">
        <v>103</v>
      </c>
      <c r="B25" s="6" t="s">
        <v>104</v>
      </c>
    </row>
    <row r="26" spans="1:5" ht="42" customHeight="1">
      <c r="A26" s="7" t="s">
        <v>105</v>
      </c>
      <c r="B26" s="7" t="s">
        <v>106</v>
      </c>
    </row>
    <row r="27" spans="1:5" ht="42" customHeight="1">
      <c r="A27" s="7" t="s">
        <v>107</v>
      </c>
      <c r="B27" s="7" t="s">
        <v>108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업체정보</vt:lpstr>
      <vt:lpstr>작성안내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2026-10-21T08:17:40Z</dcterms:modified>
</cp:coreProperties>
</file>